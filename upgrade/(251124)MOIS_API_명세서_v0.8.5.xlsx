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0" yWindow="-120" windowWidth="14117" windowHeight="8314" activeTab="2"/>
  </bookViews>
  <sheets>
    <sheet name="1. Document Overview" sheetId="6" r:id="rId1"/>
    <sheet name="2. API List" sheetId="12" r:id="rId2"/>
    <sheet name="3. API Reference" sheetId="4" r:id="rId3"/>
    <sheet name="2. API Details 가안" sheetId="9" state="hidden" r:id="rId4"/>
  </sheets>
  <calcPr calcId="144525"/>
</workbook>
</file>

<file path=xl/calcChain.xml><?xml version="1.0" encoding="utf-8"?>
<calcChain xmlns="http://schemas.openxmlformats.org/spreadsheetml/2006/main">
  <c r="B3" i="12" l="1"/>
  <c r="B4" i="12"/>
  <c r="B6" i="12"/>
  <c r="B7" i="12"/>
  <c r="B8" i="12"/>
  <c r="B9" i="12"/>
  <c r="B10" i="12"/>
  <c r="B11" i="12"/>
  <c r="B12" i="12"/>
  <c r="B13" i="12"/>
  <c r="B14" i="12"/>
  <c r="B15" i="12"/>
</calcChain>
</file>

<file path=xl/sharedStrings.xml><?xml version="1.0" encoding="utf-8"?>
<sst xmlns="http://schemas.openxmlformats.org/spreadsheetml/2006/main" count="1757" uniqueCount="775">
  <si>
    <t>요청(Request)</t>
  </si>
  <si>
    <t>응답(Response)</t>
  </si>
  <si>
    <t>항목명(영문)</t>
  </si>
  <si>
    <t>항목명(국문)</t>
  </si>
  <si>
    <t>타입</t>
  </si>
  <si>
    <t>항목설명</t>
  </si>
  <si>
    <t>요청예시</t>
  </si>
  <si>
    <t>응답예시</t>
  </si>
  <si>
    <t>주제</t>
  </si>
  <si>
    <t>버전</t>
  </si>
  <si>
    <t>-</t>
  </si>
  <si>
    <t>상태</t>
  </si>
  <si>
    <t>필수</t>
  </si>
  <si>
    <t>data</t>
  </si>
  <si>
    <t>Array</t>
  </si>
  <si>
    <t>Y</t>
  </si>
  <si>
    <t>result</t>
  </si>
  <si>
    <t>String</t>
  </si>
  <si>
    <t>status</t>
  </si>
  <si>
    <t>처리 상태</t>
  </si>
  <si>
    <t>필수</t>
    <phoneticPr fontId="1" type="noConversion"/>
  </si>
  <si>
    <t>필수</t>
    <phoneticPr fontId="1" type="noConversion"/>
  </si>
  <si>
    <t>항목설명</t>
    <phoneticPr fontId="1" type="noConversion"/>
  </si>
  <si>
    <t>출현조건</t>
    <phoneticPr fontId="1" type="noConversion"/>
  </si>
  <si>
    <t>출현조건</t>
    <phoneticPr fontId="1" type="noConversion"/>
  </si>
  <si>
    <t>박정준</t>
    <phoneticPr fontId="7" type="noConversion"/>
  </si>
  <si>
    <t>v0.5</t>
    <phoneticPr fontId="7" type="noConversion"/>
  </si>
  <si>
    <t>비고</t>
    <phoneticPr fontId="1" type="noConversion"/>
  </si>
  <si>
    <t>작성자</t>
    <phoneticPr fontId="1" type="noConversion"/>
  </si>
  <si>
    <t>작성일</t>
    <phoneticPr fontId="1" type="noConversion"/>
  </si>
  <si>
    <t>작성 내용</t>
    <phoneticPr fontId="1" type="noConversion"/>
  </si>
  <si>
    <t>검토일</t>
    <phoneticPr fontId="1" type="noConversion"/>
  </si>
  <si>
    <t>문서명</t>
    <phoneticPr fontId="1" type="noConversion"/>
  </si>
  <si>
    <t>시스템명</t>
    <phoneticPr fontId="7" type="noConversion"/>
  </si>
  <si>
    <t>Base URL</t>
    <phoneticPr fontId="1" type="noConversion"/>
  </si>
  <si>
    <t>Protocol</t>
    <phoneticPr fontId="1" type="noConversion"/>
  </si>
  <si>
    <t>Content-Type</t>
    <phoneticPr fontId="1" type="noConversion"/>
  </si>
  <si>
    <t>최종 수정일</t>
    <phoneticPr fontId="1" type="noConversion"/>
  </si>
  <si>
    <t>버전</t>
    <phoneticPr fontId="1" type="noConversion"/>
  </si>
  <si>
    <t>문의</t>
    <phoneticPr fontId="1" type="noConversion"/>
  </si>
  <si>
    <t>jjpark@t3q.com</t>
    <phoneticPr fontId="1" type="noConversion"/>
  </si>
  <si>
    <t>HTTPS</t>
    <phoneticPr fontId="1" type="noConversion"/>
  </si>
  <si>
    <t>No</t>
    <phoneticPr fontId="1" type="noConversion"/>
  </si>
  <si>
    <t>API명</t>
    <phoneticPr fontId="1" type="noConversion"/>
  </si>
  <si>
    <t>설명</t>
    <phoneticPr fontId="1" type="noConversion"/>
  </si>
  <si>
    <t>상태</t>
    <phoneticPr fontId="1" type="noConversion"/>
  </si>
  <si>
    <t>POST</t>
    <phoneticPr fontId="1" type="noConversion"/>
  </si>
  <si>
    <t>인증 방식</t>
    <phoneticPr fontId="1" type="noConversion"/>
  </si>
  <si>
    <t>설명</t>
    <phoneticPr fontId="1" type="noConversion"/>
  </si>
  <si>
    <t>Method</t>
    <phoneticPr fontId="1" type="noConversion"/>
  </si>
  <si>
    <t>Method</t>
    <phoneticPr fontId="1" type="noConversion"/>
  </si>
  <si>
    <t>POST</t>
    <phoneticPr fontId="1" type="noConversion"/>
  </si>
  <si>
    <t>URL</t>
    <phoneticPr fontId="1" type="noConversion"/>
  </si>
  <si>
    <t>입력된 주제에 대한 보고서 목차를 AI가 자동 생성</t>
    <phoneticPr fontId="1" type="noConversion"/>
  </si>
  <si>
    <t>입력된 주제와 생성한 목차를 기반으로 보고서 본문 내용을 AI가 자동 생성</t>
    <phoneticPr fontId="1" type="noConversion"/>
  </si>
  <si>
    <t>https://plf.mois-disaster.t3q.ai</t>
    <phoneticPr fontId="1" type="noConversion"/>
  </si>
  <si>
    <t>데이터</t>
  </si>
  <si>
    <t>Array[Array]</t>
  </si>
  <si>
    <t>목차 생성 요청 데이터</t>
  </si>
  <si>
    <t>배경정보</t>
  </si>
  <si>
    <t>Object</t>
  </si>
  <si>
    <t>재난 관련 배경 정보</t>
  </si>
  <si>
    <t>재난유형</t>
  </si>
  <si>
    <t>재난 종류</t>
  </si>
  <si>
    <t>재난관리단계</t>
  </si>
  <si>
    <t>재난 관리 단계</t>
  </si>
  <si>
    <t>장소</t>
  </si>
  <si>
    <t>N</t>
  </si>
  <si>
    <t>발생/대응 장소</t>
  </si>
  <si>
    <t>발생기간</t>
  </si>
  <si>
    <t>재난 발생 시간 정보</t>
  </si>
  <si>
    <t>시작일</t>
  </si>
  <si>
    <t>발생 시작일 (YYYY-MM-DD)</t>
  </si>
  <si>
    <t>종료일</t>
  </si>
  <si>
    <t>발생 종료일 (YYYY-MM-DD)</t>
  </si>
  <si>
    <t>시간</t>
  </si>
  <si>
    <t>구체적 시간</t>
  </si>
  <si>
    <t>보고일시</t>
  </si>
  <si>
    <t>보고서 작성 일시</t>
  </si>
  <si>
    <t>날짜</t>
  </si>
  <si>
    <t>보고 날짜 (YYYY-MM-DD)</t>
  </si>
  <si>
    <t>보고 시간 (HH:MM)</t>
  </si>
  <si>
    <t>내용지침</t>
  </si>
  <si>
    <t>내용 작성 가이드라인</t>
  </si>
  <si>
    <t>필수포함요소</t>
  </si>
  <si>
    <t>Array[String]</t>
  </si>
  <si>
    <t>반드시 포함할 키워드/주제</t>
  </si>
  <si>
    <t>인용규칙</t>
  </si>
  <si>
    <t>출처 표기 방식</t>
  </si>
  <si>
    <t>작성가이드</t>
  </si>
  <si>
    <t>추가 작성 지침</t>
  </si>
  <si>
    <t>표현규칙</t>
  </si>
  <si>
    <t>문서 형식 규칙</t>
  </si>
  <si>
    <t>응답유형</t>
  </si>
  <si>
    <t>작성 스타일</t>
  </si>
  <si>
    <t>문장제한</t>
  </si>
  <si>
    <t>문장 길이 제한</t>
  </si>
  <si>
    <t>제목번호규칙</t>
  </si>
  <si>
    <t>제목 번호 체계</t>
  </si>
  <si>
    <t>문단시작규칙</t>
  </si>
  <si>
    <t>문단 시작 형식</t>
  </si>
  <si>
    <t>문서목적</t>
  </si>
  <si>
    <t>문서 작성 목적 정보</t>
  </si>
  <si>
    <t>문서제목</t>
  </si>
  <si>
    <t>보고서 제목</t>
  </si>
  <si>
    <t>업무목적</t>
  </si>
  <si>
    <t>작성 목적</t>
  </si>
  <si>
    <t>작성자역할</t>
  </si>
  <si>
    <t>작성자 페르소나</t>
  </si>
  <si>
    <t>독자대상</t>
  </si>
  <si>
    <t>타깃 독자</t>
  </si>
  <si>
    <t>결과</t>
  </si>
  <si>
    <t>생성된 목차 정보</t>
  </si>
  <si>
    <t>최종 보고서 제목</t>
  </si>
  <si>
    <t>목차</t>
  </si>
  <si>
    <t>생성된 목차 구조</t>
  </si>
  <si>
    <t>장번호</t>
  </si>
  <si>
    <t>장 번호</t>
  </si>
  <si>
    <t>장제목</t>
  </si>
  <si>
    <t>장 제목</t>
  </si>
  <si>
    <t>절목록</t>
  </si>
  <si>
    <t>선택</t>
  </si>
  <si>
    <t>하위 절 목록</t>
  </si>
  <si>
    <t>절번호</t>
  </si>
  <si>
    <t>절 번호</t>
  </si>
  <si>
    <t>절제목</t>
  </si>
  <si>
    <t>절 제목</t>
  </si>
  <si>
    <t>항목록</t>
  </si>
  <si>
    <t>하위 항 목록</t>
  </si>
  <si>
    <t>항번호</t>
  </si>
  <si>
    <t>항 번호</t>
  </si>
  <si>
    <t>항제목</t>
  </si>
  <si>
    <t>항 제목</t>
  </si>
  <si>
    <t>메타데이터</t>
  </si>
  <si>
    <t>생성 관련 정보</t>
  </si>
  <si>
    <t>총장수</t>
  </si>
  <si>
    <t>Integer</t>
  </si>
  <si>
    <t>전체 장 개수</t>
  </si>
  <si>
    <t>총절수</t>
  </si>
  <si>
    <t>전체 절 개수</t>
  </si>
  <si>
    <t>생성시간</t>
  </si>
  <si>
    <t>Float</t>
  </si>
  <si>
    <t>처리 소요시간(초)</t>
  </si>
  <si>
    <t>{
  "status": "success",
  "result": {
    "document_title": "감염병 대응 종합계획서",
    "outline": [
      {
        "chapter_no": "1",
        "chapter_title": "감염병 대응 체계",
        "sections": [
          {
            "section_no": "1.1",
            "section_title": "대응 조직 구성",
            "subsections": [
              {
                "subsection_no": "1.1.1",
                "subsection_title": "중앙재난안전대책본부"
              },
              {
                "subsection_no": "1.1.2",
                "subsection_title": "지역재난안전대책본부"
              }
            ]
          },
          {
            "section_no": "1.2",
            "section_title": "단계별 대응 절차",
            "subsections": []
          }
        ]
      },
      {
        "chapter_no": "2",
        "chapter_title": "협력방안",
        "sections": [
          {
            "section_no": "2.1",
            "section_title": "유관기관 협력체계",
            "subsections": []
          }
        ]
      },
      {
        "chapter_no": "3",
        "chapter_title": "자원관리",
        "sections": []
      }
    ],
    "metadata": {
      "total_chapters": 3,
      "total_sections": 7,
      "generation_time": 2.345
    }
  }
}</t>
    <phoneticPr fontId="1" type="noConversion"/>
  </si>
  <si>
    <t>본문 생성 요청 데이터</t>
  </si>
  <si>
    <t>생성된목차</t>
  </si>
  <si>
    <t>목차 생성 API의 응답 결과</t>
  </si>
  <si>
    <t>확정된 문서 제목</t>
  </si>
  <si>
    <t>목차구조</t>
  </si>
  <si>
    <t>생성된 목차 전체 구조</t>
  </si>
  <si>
    <t>본문옵션</t>
  </si>
  <si>
    <t>본문 생성 추가 옵션</t>
  </si>
  <si>
    <t>대상챕터</t>
  </si>
  <si>
    <t>특정 장만 생성시 지정</t>
  </si>
  <si>
    <t>대상절</t>
  </si>
  <si>
    <t>특정 절만 생성시 지정</t>
  </si>
  <si>
    <t>내용길이</t>
  </si>
  <si>
    <t>본문 분량 설정</t>
  </si>
  <si>
    <t>예시포함</t>
  </si>
  <si>
    <t>Boolean</t>
  </si>
  <si>
    <t>구체적 예시 포함 여부</t>
  </si>
  <si>
    <t>표포함</t>
  </si>
  <si>
    <t>표/도표 포함 여부</t>
  </si>
  <si>
    <t>참고문헌</t>
  </si>
  <si>
    <t>참고문헌 포함 여부</t>
  </si>
  <si>
    <t>생성된 본문 정보</t>
  </si>
  <si>
    <t>본문내용</t>
  </si>
  <si>
    <t>챕터별 본문 내용</t>
  </si>
  <si>
    <t>장내용</t>
  </si>
  <si>
    <t>장 개요/서론</t>
  </si>
  <si>
    <t>절내용</t>
  </si>
  <si>
    <t>절별 상세 내용</t>
  </si>
  <si>
    <t>절 본문 내용</t>
  </si>
  <si>
    <t>항내용</t>
  </si>
  <si>
    <t>항별 상세 내용</t>
  </si>
  <si>
    <t>항 본문 내용</t>
  </si>
  <si>
    <t>첨부자료</t>
  </si>
  <si>
    <t>추가 생성 자료</t>
  </si>
  <si>
    <t>표목록</t>
  </si>
  <si>
    <t>생성된 표</t>
  </si>
  <si>
    <t>참고문헌 목록</t>
  </si>
  <si>
    <t>각주</t>
  </si>
  <si>
    <t>각주 목록</t>
  </si>
  <si>
    <t>총글자수</t>
  </si>
  <si>
    <t>전체 글자 수</t>
  </si>
  <si>
    <t>총문단수</t>
  </si>
  <si>
    <t>전체 문단 수</t>
  </si>
  <si>
    <t>{
  "status": "success",
  "result": {
    "document_title": "감염병 대응 종합계획서",
    "contents": [
      {
        "chapter_no": "1",
        "chapter_title": "감염병 대응 체계",
        "chapter_content": "본 장에서는 감염병 발생 시 효과적인 대응을 위한 조직 체계와 운영 방안을 제시한다.",
        "sections": [
          {
            "section_no": "1.1",
            "section_title": "대응 조직 구성",
            "section_content": "(조직구성) 감염병 위기 발생 시 중앙과 지역 단위의 통합적 대응 조직을 구성하여 체계적으로 운영한다.",
            "subsections": [
              {
                "subsection_no": "1.1.1",
                "subsection_title": "중앙재난안전대책본부",
                "subsection_content": "• (구성) 본부장은 국무총리, 차장은 행정안전부장관이 담당¹\n• (역할) 국가 차원의 감염병 대응 총괄 지휘 및 조정\n• (운영) 24시간 상황실 운영 및 일일 상황 보고 체계 구축\n• (협력) 질병관리청, 보건복지부 등 유관기관과 실시간 정보 공유"
              }
            ]
          }
        ]
      }
    ],
    "attachments": {
      "footnotes": [
        {
          "id": "1",
          "content": "「재난 및 안전관리 기본법」 제14조"
        }
      ],
      "references": [
        "재난 및 안전관리 기본법 (법률 제19428호)",
        "감염병의 예방 및 관리에 관한 법률 (법률 제19427호)"
      ]
    },
    "metadata": {
      "total_characters": 15234,
      "total_paragraphs": 85,
      "generation_time": 8.765
    }
  }
}</t>
    <phoneticPr fontId="1" type="noConversion"/>
  </si>
  <si>
    <t>종료시간</t>
    <phoneticPr fontId="1" type="noConversion"/>
  </si>
  <si>
    <t>시작시간</t>
    <phoneticPr fontId="1" type="noConversion"/>
  </si>
  <si>
    <t>├── document_title</t>
  </si>
  <si>
    <t>├── outline</t>
  </si>
  <si>
    <t>│ ├── chapter_no</t>
  </si>
  <si>
    <t>│ ├── chapter_title</t>
  </si>
  <si>
    <t>│ └── sections</t>
  </si>
  <si>
    <t>└── metadata</t>
  </si>
  <si>
    <t>│ ├── phase</t>
  </si>
  <si>
    <t>│ ├── place</t>
  </si>
  <si>
    <t>├── content_guide</t>
  </si>
  <si>
    <t>│ ├── citation_rule</t>
  </si>
  <si>
    <t>│ └── writing_guide</t>
  </si>
  <si>
    <t>├── format_rule</t>
  </si>
  <si>
    <t>│ ├── response_style</t>
  </si>
  <si>
    <t>│ ├── line_limit</t>
  </si>
  <si>
    <t>│ └── paragraph_lead</t>
  </si>
  <si>
    <t>│ ├── must_include</t>
    <phoneticPr fontId="1" type="noConversion"/>
  </si>
  <si>
    <t>├── generated_outline</t>
  </si>
  <si>
    <t>│ ├── document_title</t>
  </si>
  <si>
    <t>└── content_options</t>
  </si>
  <si>
    <t>├── contents</t>
  </si>
  <si>
    <t>│ ├── chapter_content</t>
  </si>
  <si>
    <t>│ ├── references</t>
  </si>
  <si>
    <t>1. 보고서 목차 생성 API의 요청과 동일 데이터</t>
    <phoneticPr fontId="1" type="noConversion"/>
  </si>
  <si>
    <t>├── 목차 생성 API의 모든 요청 항목</t>
    <phoneticPr fontId="1" type="noConversion"/>
  </si>
  <si>
    <t>│ │ ├── end_date</t>
    <phoneticPr fontId="1" type="noConversion"/>
  </si>
  <si>
    <t>│ │ └── end_time</t>
    <phoneticPr fontId="1" type="noConversion"/>
  </si>
  <si>
    <t>├── background</t>
    <phoneticPr fontId="1" type="noConversion"/>
  </si>
  <si>
    <t>│ ├── hazard_type</t>
    <phoneticPr fontId="1" type="noConversion"/>
  </si>
  <si>
    <t>│ ├── event_period</t>
    <phoneticPr fontId="1" type="noConversion"/>
  </si>
  <si>
    <t>│ │ ├── start_date</t>
    <phoneticPr fontId="1" type="noConversion"/>
  </si>
  <si>
    <t>│ ├── heading_rule</t>
    <phoneticPr fontId="1" type="noConversion"/>
  </si>
  <si>
    <t xml:space="preserve">    └── audience</t>
    <phoneticPr fontId="1" type="noConversion"/>
  </si>
  <si>
    <t xml:space="preserve">    ├── persona</t>
    <phoneticPr fontId="1" type="noConversion"/>
  </si>
  <si>
    <t xml:space="preserve">    ├── purpose</t>
    <phoneticPr fontId="1" type="noConversion"/>
  </si>
  <si>
    <t>└── document_purpose</t>
    <phoneticPr fontId="1" type="noConversion"/>
  </si>
  <si>
    <t xml:space="preserve">    ├── title</t>
    <phoneticPr fontId="1" type="noConversion"/>
  </si>
  <si>
    <t>│ └── sections</t>
    <phoneticPr fontId="1" type="noConversion"/>
  </si>
  <si>
    <t>│ ├── chapter_no</t>
    <phoneticPr fontId="1" type="noConversion"/>
  </si>
  <si>
    <t xml:space="preserve">    └── generation_time</t>
    <phoneticPr fontId="1" type="noConversion"/>
  </si>
  <si>
    <t xml:space="preserve">    ├── total_sections</t>
    <phoneticPr fontId="1" type="noConversion"/>
  </si>
  <si>
    <t xml:space="preserve">    ├── total_chapters</t>
    <phoneticPr fontId="1" type="noConversion"/>
  </si>
  <si>
    <t>│ │ ├── start_time</t>
    <phoneticPr fontId="1" type="noConversion"/>
  </si>
  <si>
    <t>│     ├── date</t>
    <phoneticPr fontId="1" type="noConversion"/>
  </si>
  <si>
    <t>│     └── time</t>
    <phoneticPr fontId="1" type="noConversion"/>
  </si>
  <si>
    <t>│ └── report_datetime</t>
    <phoneticPr fontId="1" type="noConversion"/>
  </si>
  <si>
    <t>│     ├── section_no</t>
    <phoneticPr fontId="1" type="noConversion"/>
  </si>
  <si>
    <t>│     ├── section_title</t>
    <phoneticPr fontId="1" type="noConversion"/>
  </si>
  <si>
    <t>│     └── subsections</t>
    <phoneticPr fontId="1" type="noConversion"/>
  </si>
  <si>
    <t>│         ├── subsection_no</t>
    <phoneticPr fontId="1" type="noConversion"/>
  </si>
  <si>
    <t>│         └── subsection_title</t>
    <phoneticPr fontId="1" type="noConversion"/>
  </si>
  <si>
    <t>│ └── outline</t>
    <phoneticPr fontId="1" type="noConversion"/>
  </si>
  <si>
    <t xml:space="preserve">    └── include_references</t>
    <phoneticPr fontId="1" type="noConversion"/>
  </si>
  <si>
    <t xml:space="preserve">    ├── include_tables</t>
    <phoneticPr fontId="1" type="noConversion"/>
  </si>
  <si>
    <t xml:space="preserve">    ├── include_examples</t>
    <phoneticPr fontId="1" type="noConversion"/>
  </si>
  <si>
    <t xml:space="preserve">    ├── content_length</t>
    <phoneticPr fontId="1" type="noConversion"/>
  </si>
  <si>
    <t xml:space="preserve">    ├── target_section</t>
    <phoneticPr fontId="1" type="noConversion"/>
  </si>
  <si>
    <t xml:space="preserve">    ├── target_chapter</t>
    <phoneticPr fontId="1" type="noConversion"/>
  </si>
  <si>
    <t>│ ├── tables</t>
    <phoneticPr fontId="1" type="noConversion"/>
  </si>
  <si>
    <t>│ └── footnotes</t>
    <phoneticPr fontId="1" type="noConversion"/>
  </si>
  <si>
    <t>├── attachments</t>
    <phoneticPr fontId="1" type="noConversion"/>
  </si>
  <si>
    <t>│     ├── section_content</t>
    <phoneticPr fontId="1" type="noConversion"/>
  </si>
  <si>
    <t>│         ├── subsection_title</t>
    <phoneticPr fontId="1" type="noConversion"/>
  </si>
  <si>
    <t>│         └── subsection_content</t>
    <phoneticPr fontId="1" type="noConversion"/>
  </si>
  <si>
    <t xml:space="preserve">    ├── total_characters</t>
    <phoneticPr fontId="1" type="noConversion"/>
  </si>
  <si>
    <t xml:space="preserve">    ├── total_paragraphs</t>
    <phoneticPr fontId="1" type="noConversion"/>
  </si>
  <si>
    <t>API ID</t>
    <phoneticPr fontId="1" type="noConversion"/>
  </si>
  <si>
    <t>API ID / API명</t>
    <phoneticPr fontId="1" type="noConversion"/>
  </si>
  <si>
    <t>MOIS-RPT-GEN-001 / 보고서 목차 생성</t>
    <phoneticPr fontId="1" type="noConversion"/>
  </si>
  <si>
    <t>MOIS API 명세서</t>
    <phoneticPr fontId="1" type="noConversion"/>
  </si>
  <si>
    <t>없음(Public)</t>
    <phoneticPr fontId="1" type="noConversion"/>
  </si>
  <si>
    <t>Endpoint</t>
    <phoneticPr fontId="1" type="noConversion"/>
  </si>
  <si>
    <t>장 번호</t>
    <phoneticPr fontId="1" type="noConversion"/>
  </si>
  <si>
    <t>MOIS-RPT-GEN-002 / 보고서 본문 생성</t>
    <phoneticPr fontId="1" type="noConversion"/>
  </si>
  <si>
    <t>https://plf.mois-disaster.t3q.ai/model/api/f6cad/inference</t>
    <phoneticPr fontId="1" type="noConversion"/>
  </si>
  <si>
    <t>검토/확인자</t>
    <phoneticPr fontId="1" type="noConversion"/>
  </si>
  <si>
    <t>https://plf.mois-disaster.t3q.ai/model/api/f37aa/inference</t>
    <phoneticPr fontId="1" type="noConversion"/>
  </si>
  <si>
    <t>POST /model/api/f37aa/inference
Content-Type: application/json;charset=UTF-8
{
  "data": [[{
    "background": {
      "hazard_type": "감염병",
      "phase": "대비",
      "place": "서울특별시",
      "event_period": {
        "start_date": "2025-01-01",
        "end_date": "2025-01-31"
      }
    },
    "content_guide": {
      "must_include": ["대응체계", "협력방안", "자원관리"],
      "citation_rule": "각주",
      "writing_guide": "구체적 사례와 실행 방안 포함"
    },
    "format_rule": {
      "response_style": "개조식",
      "line_limit": "1문장 2줄 이내",
      "heading_rule": "1.-1.1-1.1.1",
      "paragraph_lead": "키워드 괄호 요약"
    },
    "document_purpose": {
      "title": "감염병 대응 종합계획",
      "purpose": "재난안전계획서 작성",
      "persona": "재난안전계획 수립 담당자",
      "audience": ["지자체", "중앙정부"]
    },
    "generated_outline": {
      "document_title": "감염병 대응 종합계획서",
      "outline": [
        {
          "chapter_no": "1",
          "chapter_title": "감염병 대응 체계",
          "sections": [
            {
              "section_no": "1.1",
              "section_title": "대응 조직 구성",
              "subsections": [
                {
                  "subsection_no": "1.1.1",
                  "subsection_title": "중앙재난안전대책본부"
                }
              ]
            }
          ]
        }
      ]
    },
    "content_options": {
      "content_length": "detailed",
      "include_examples": true,
      "include_tables": true,
      "include_references": true
    }
  }]]
}</t>
    <phoneticPr fontId="1" type="noConversion"/>
  </si>
  <si>
    <t>String</t>
    <phoneticPr fontId="1" type="noConversion"/>
  </si>
  <si>
    <t>데이터</t>
    <phoneticPr fontId="1" type="noConversion"/>
  </si>
  <si>
    <t>Y</t>
    <phoneticPr fontId="1" type="noConversion"/>
  </si>
  <si>
    <t>Object</t>
    <phoneticPr fontId="1" type="noConversion"/>
  </si>
  <si>
    <t>요청(Request)</t>
    <phoneticPr fontId="1" type="noConversion"/>
  </si>
  <si>
    <t>SSL 검증</t>
    <phoneticPr fontId="1" type="noConversion"/>
  </si>
  <si>
    <t>비활성화 필요</t>
    <phoneticPr fontId="1" type="noConversion"/>
  </si>
  <si>
    <t>초안 최초 작성</t>
    <phoneticPr fontId="7" type="noConversion"/>
  </si>
  <si>
    <t>POST /model/api/f6cad/inference
Content-Type: application/json;charset=UTF-8
{
  "data": [[{
    "background": {
      "hazard_type": "감염병",
      "phase": "대비",
      "place": "서울특별시",
      "event_period": {
        "start_date": "2025-01-01",
        "start_time": "10:00",
        "end_date": "2025-01-31",
        "end_time": "13:00"
      },
      "report_datetime": {
        "date": "2025-09-08",
        "time": "09:00"
      }
    },
    "content_guide": {
      "must_include": ["대응체계", "협력방안", "자원관리"],
      "citation_rule": "각주",
      "writing_guide": "구체적 사례와 실행 방안 포함"
    },
    "format_rule": {
      "response_style": "개조식",
      "line_limit": "1문장 2줄 이내",
      "heading_rule": "1.-1.1-1.1.1",
      "paragraph_lead": "키워드 괄호 요약"
    },
    "document_purpose": {
      "title": "감염병 대응 종합계획",
      "purpose": "재난안전계획서 작성",
      "persona": "재난안전계획 수립 담당자",
      "audience": ["지자체", "중앙정부"]
    }
  }]]
}</t>
    <phoneticPr fontId="1" type="noConversion"/>
  </si>
  <si>
    <t>model</t>
  </si>
  <si>
    <t>모델명</t>
  </si>
  <si>
    <t>messages</t>
  </si>
  <si>
    <t>메시지</t>
  </si>
  <si>
    <t>대화 메시지 배열</t>
  </si>
  <si>
    <t>├── role</t>
  </si>
  <si>
    <t>역할</t>
  </si>
  <si>
    <t>메시지 역할 (system/user/assistant)</t>
  </si>
  <si>
    <t>└── content</t>
  </si>
  <si>
    <t>내용</t>
  </si>
  <si>
    <t>메시지 내용</t>
  </si>
  <si>
    <t>max_tokens</t>
  </si>
  <si>
    <t>최대토큰</t>
  </si>
  <si>
    <t>temperature</t>
  </si>
  <si>
    <t>온도</t>
  </si>
  <si>
    <t>창의성 조절 (0.0~2.0, 기본: 0.7)</t>
  </si>
  <si>
    <t>stream</t>
  </si>
  <si>
    <t>스트리밍</t>
  </si>
  <si>
    <t>스트리밍 응답 여부 (기본: false)</t>
  </si>
  <si>
    <t>id</t>
  </si>
  <si>
    <t>응답ID</t>
  </si>
  <si>
    <t>고유 응답 식별자</t>
  </si>
  <si>
    <t>object</t>
  </si>
  <si>
    <t>객체타입</t>
  </si>
  <si>
    <t>created</t>
  </si>
  <si>
    <t>Unix 타임스탬프</t>
  </si>
  <si>
    <t>사용된 모델명</t>
  </si>
  <si>
    <t>choices</t>
  </si>
  <si>
    <t>선택지</t>
  </si>
  <si>
    <t>생성된 응답 배열</t>
  </si>
  <si>
    <t>├── index</t>
  </si>
  <si>
    <t>인덱스</t>
  </si>
  <si>
    <t>응답 순서</t>
  </si>
  <si>
    <t>├── message</t>
  </si>
  <si>
    <t>생성된 메시지</t>
  </si>
  <si>
    <t>"assistant"</t>
  </si>
  <si>
    <t>생성된 텍스트</t>
  </si>
  <si>
    <t>종료사유</t>
  </si>
  <si>
    <t>"stop", "length" 등</t>
  </si>
  <si>
    <t>usage</t>
  </si>
  <si>
    <t>사용량</t>
  </si>
  <si>
    <t>토큰 사용 정보</t>
  </si>
  <si>
    <t>├── prompt_tokens</t>
  </si>
  <si>
    <t>입력토큰</t>
  </si>
  <si>
    <t>입력 토큰 수</t>
  </si>
  <si>
    <t>├── completion_tokens</t>
  </si>
  <si>
    <t>출력토큰</t>
  </si>
  <si>
    <t>생성 토큰 수</t>
  </si>
  <si>
    <t>전체토큰</t>
  </si>
  <si>
    <t>총 토큰 수</t>
  </si>
  <si>
    <t>SSE(Server-Sent Events) 형식</t>
  </si>
  <si>
    <t>사용자 입력에 대한 LLM 응답 생성 (대화형/단독 프롬프트)</t>
  </si>
  <si>
    <t>/llms/v1/chat/completions</t>
  </si>
  <si>
    <t>v0.6</t>
    <phoneticPr fontId="1" type="noConversion"/>
  </si>
  <si>
    <t>박정준</t>
    <phoneticPr fontId="1" type="noConversion"/>
  </si>
  <si>
    <t>API-LLM-001 추가</t>
    <phoneticPr fontId="1" type="noConversion"/>
  </si>
  <si>
    <t>"chat.completion"</t>
    <phoneticPr fontId="1" type="noConversion"/>
  </si>
  <si>
    <t>API-LLM-001 / LLM 텍스트 생성</t>
    <phoneticPr fontId="1" type="noConversion"/>
  </si>
  <si>
    <t>사용자 입력에 대한 LLM 응답 생성 (대화형/단독 프롬프트)</t>
    <phoneticPr fontId="1" type="noConversion"/>
  </si>
  <si>
    <t>스트리밍 응답(stream=True)</t>
    <phoneticPr fontId="1" type="noConversion"/>
  </si>
  <si>
    <t>생성할 최대 토큰 수 (기본: 해당 모델의 최대치)</t>
    <phoneticPr fontId="1" type="noConversion"/>
  </si>
  <si>
    <t>POST</t>
    <phoneticPr fontId="1" type="noConversion"/>
  </si>
  <si>
    <t>├── text</t>
  </si>
  <si>
    <t>텍스트</t>
  </si>
  <si>
    <t>├── return_dense</t>
  </si>
  <si>
    <t>밀집벡터반환</t>
  </si>
  <si>
    <t>밀집 벡터 반환 여부 (기본: true)</t>
  </si>
  <si>
    <t>├── return_sparse</t>
  </si>
  <si>
    <t>희소벡터반환</t>
  </si>
  <si>
    <t>희소 벡터 반환 여부 (기본: false)</t>
  </si>
  <si>
    <t>├── return_colbert_vecs</t>
  </si>
  <si>
    <t>ColBERT벡터반환</t>
  </si>
  <si>
    <t>ColBERT 벡터 반환 여부 (기본: false)</t>
  </si>
  <si>
    <t>├── batch_size</t>
  </si>
  <si>
    <t>배치크기</t>
  </si>
  <si>
    <t>인코딩 배치 크기 (기본: 32)</t>
  </si>
  <si>
    <t>├── max_length</t>
  </si>
  <si>
    <t>최대길이</t>
  </si>
  <si>
    <t>└── decode_sparse_tokens</t>
  </si>
  <si>
    <t>토큰디코딩</t>
  </si>
  <si>
    <t>희소 벡터 토큰 ID를 토큰으로 디코딩 (기본: false)</t>
  </si>
  <si>
    <t>dense_vecs</t>
  </si>
  <si>
    <t>밀집벡터</t>
  </si>
  <si>
    <t>밀집 임베딩 벡터 배열</t>
  </si>
  <si>
    <t>sparse_vecs</t>
  </si>
  <si>
    <t>희소벡터</t>
  </si>
  <si>
    <t>희소 임베딩 벡터 배열</t>
  </si>
  <si>
    <t>├── tokens</t>
  </si>
  <si>
    <t>토큰</t>
  </si>
  <si>
    <t>├── token_ids</t>
  </si>
  <si>
    <t>토큰ID</t>
  </si>
  <si>
    <t>토큰 ID 배열</t>
  </si>
  <si>
    <t>└── weights</t>
  </si>
  <si>
    <t>가중치</t>
  </si>
  <si>
    <t>토큰별 가중치 배열</t>
  </si>
  <si>
    <t>colbert_vecs</t>
  </si>
  <si>
    <t>ColBERT벡터</t>
  </si>
  <si>
    <t>ColBERT 벡터 배열</t>
  </si>
  <si>
    <t>API ID / API명</t>
    <phoneticPr fontId="1" type="noConversion"/>
  </si>
  <si>
    <t>설명</t>
    <phoneticPr fontId="1" type="noConversion"/>
  </si>
  <si>
    <t>URL</t>
    <phoneticPr fontId="1" type="noConversion"/>
  </si>
  <si>
    <t>필수</t>
    <phoneticPr fontId="1" type="noConversion"/>
  </si>
  <si>
    <t>Y</t>
    <phoneticPr fontId="1" type="noConversion"/>
  </si>
  <si>
    <t>항목설명</t>
    <phoneticPr fontId="1" type="noConversion"/>
  </si>
  <si>
    <t>박정준</t>
    <phoneticPr fontId="1" type="noConversion"/>
  </si>
  <si>
    <t>항목설명</t>
    <phoneticPr fontId="1" type="noConversion"/>
  </si>
  <si>
    <t>API 목록</t>
    <phoneticPr fontId="1" type="noConversion"/>
  </si>
  <si>
    <t>POST</t>
    <phoneticPr fontId="1" type="noConversion"/>
  </si>
  <si>
    <t>최대 시퀀스 길이 (기본: 8192)</t>
    <phoneticPr fontId="1" type="noConversion"/>
  </si>
  <si>
    <t xml:space="preserve">SSE(Server-Sent Events) 형식 </t>
    <phoneticPr fontId="1" type="noConversion"/>
  </si>
  <si>
    <t>HTTP/1.1 200 OK
Content-Type: application/json;charset=UTF-8
{
  "id": "chat-abc123",
  "object": "chat.completion",
  "created": 1736664000,
  "model": "test",
  "choices": [
    {
      "index": 0,
      "message": {
        "role": "assistant",
        "content": "태풍 대비 행동요령:\n\n1. 태풍 경보 발령 시\n- TV, 라디오 등으로 기상정보 확인\n- 창문과 출입문을 잠그고 테이프로 보강\n- 비상용품 준비 (손전등, 물, 식량 등)\n\n2. 태풍 진행 중\n- 외출 자제 및 실내 대피\n- 전기/가스 차단\n- 침수 위험 지역 대피\n\n3. 태풍 통과 후\n- 전선, 축대 등 위험시설 접근 금지\n- 파손된 시설물 신고"
      },
      "finish_reason": "stop"
    }
  ],
  "usage": {
    "prompt_tokens": 45,
    "completion_tokens": 156,
    "total_tokens": 201
  }
}</t>
    <phoneticPr fontId="1" type="noConversion"/>
  </si>
  <si>
    <t>HTTP/1.1 200 OK
Content-Type: application/json;charset=UTF-8
{
  "dense_vecs": [
    [0.1234, -0.5678, 0.9012, ...],
    [0.2345, -0.6789, 0.0123, ...]
  ],
  "sparse_vecs": [
    {
      "tokens": ["안녕", "하세요", "임베딩", "테스트"],
      "token_ids": [1234, 5678, 9012, 3456],
      "weights": [0.8, 0.6, 0.9, 0.7]
    },
    {
      "tokens": ["두", "번째", "문장"],
      "token_ids": [7890, 2345, 6789],
      "weights": [0.5, 0.8, 0.9]
    }
  ],
  "colbert_vecs": null
}</t>
    <phoneticPr fontId="1" type="noConversion"/>
  </si>
  <si>
    <t>/embeddings/bge-m3</t>
    <phoneticPr fontId="1" type="noConversion"/>
  </si>
  <si>
    <t>입력 텍스트를 벡터로 변환하는 임베딩 서비스 (BGE-M3 모델 기반)</t>
    <phoneticPr fontId="1" type="noConversion"/>
  </si>
  <si>
    <t>입력 텍스트를 벡터로 변환하는 임베딩 서비스 (BGE-M3 모델 기반)</t>
    <phoneticPr fontId="1" type="noConversion"/>
  </si>
  <si>
    <t>텍스트 임베딩 변환</t>
    <phoneticPr fontId="1" type="noConversion"/>
  </si>
  <si>
    <t>LLM 텍스트 생성</t>
    <phoneticPr fontId="1" type="noConversion"/>
  </si>
  <si>
    <t>사용자 질의에 대한 대화형 AI 챗봇 응답 제공 서비스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</si>
  <si>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</si>
  <si>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</si>
  <si>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</si>
  <si>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Y</t>
    <phoneticPr fontId="1" type="noConversion"/>
  </si>
  <si>
    <r>
      <t>사용할 모델명</t>
    </r>
    <r>
      <rPr>
        <sz val="11"/>
        <color theme="1"/>
        <rFont val="맑은 고딕"/>
        <family val="3"/>
        <charset val="129"/>
        <scheme val="minor"/>
      </rPr>
      <t xml:space="preserve"> (필수: "mois" 고정값 사용)</t>
    </r>
    <phoneticPr fontId="1" type="noConversion"/>
  </si>
  <si>
    <r>
      <t>POST /llms/v1/chat/completions
Content-Type: application/json;charset=UTF-8
{
  "model":</t>
    </r>
    <r>
      <rPr>
        <sz val="11"/>
        <color theme="1"/>
        <rFont val="맑은 고딕"/>
        <family val="3"/>
        <charset val="129"/>
        <scheme val="minor"/>
      </rPr>
      <t xml:space="preserve"> "mois",</t>
    </r>
    <r>
      <rPr>
        <sz val="11"/>
        <color theme="1"/>
        <rFont val="맑은 고딕"/>
        <family val="2"/>
        <charset val="129"/>
        <scheme val="minor"/>
      </rPr>
      <t xml:space="preserve">
  "messages": [
    {
      "role": "system",
      "content": "당신은 재난안전 전문가입니다."
    },
    {
      "role": "user", 
      "content": "태풍 대비 행동요령을 알려주세요"
    }
  ],
  "max_tokens": 500,
  "temperature": 0.7,
  "stream": false
}</t>
    </r>
    <phoneticPr fontId="1" type="noConversion"/>
  </si>
  <si>
    <t>v0.7</t>
    <phoneticPr fontId="1" type="noConversion"/>
  </si>
  <si>
    <t>API-EMD-001 추가</t>
    <phoneticPr fontId="1" type="noConversion"/>
  </si>
  <si>
    <t>API-CHT-001 추가</t>
    <phoneticPr fontId="1" type="noConversion"/>
  </si>
  <si>
    <t>v0.6.1</t>
    <phoneticPr fontId="1" type="noConversion"/>
  </si>
  <si>
    <t>질의 내용</t>
  </si>
  <si>
    <t>스트리밍 여부</t>
  </si>
  <si>
    <t>스트리밍 응답 여부 (기본값: true)</t>
  </si>
  <si>
    <t>시나리오</t>
  </si>
  <si>
    <t>객체 타입</t>
  </si>
  <si>
    <t>응답 객체 타입 ("chat")</t>
  </si>
  <si>
    <t>content</t>
  </si>
  <si>
    <t>응답 내용</t>
  </si>
  <si>
    <t>AI 챗봇 응답 텍스트</t>
  </si>
  <si>
    <t>done</t>
  </si>
  <si>
    <t>완료 여부</t>
  </si>
  <si>
    <t>metadata</t>
  </si>
  <si>
    <t>채팅 ID</t>
  </si>
  <si>
    <t>채팅 세션 식별자</t>
  </si>
  <si>
    <t>생성 시간</t>
  </si>
  <si>
    <t>사용된 AI 모델 ("mois")</t>
  </si>
  <si>
    <t>원본 질의</t>
  </si>
  <si>
    <t>사용자 원본 질의</t>
  </si>
  <si>
    <t>검색 결과 수</t>
  </si>
  <si>
    <t>RAG 검색 결과 개수</t>
  </si>
  <si>
    <t>참조 문서</t>
  </si>
  <si>
    <t>참조된 문서 목록</t>
  </si>
  <si>
    <t>파일명</t>
  </si>
  <si>
    <t>참조 문서 파일명</t>
  </si>
  <si>
    <t>페이지/청크</t>
  </si>
  <si>
    <t>문서 내 페이지 또는 청크 번호</t>
  </si>
  <si>
    <t>유사도 점수</t>
  </si>
  <si>
    <t>검색 유사도 점수</t>
  </si>
  <si>
    <t>"chat"</t>
  </si>
  <si>
    <t>부분 응답 텍스트</t>
  </si>
  <si>
    <t>빈 문자열</t>
  </si>
  <si>
    <t>"meta"</t>
  </si>
  <si>
    <t>일반 응답의 metadata와 동일 구조</t>
  </si>
  <si>
    <t>│ └── content</t>
    <phoneticPr fontId="1" type="noConversion"/>
  </si>
  <si>
    <t>└── finish_reason</t>
    <phoneticPr fontId="1" type="noConversion"/>
  </si>
  <si>
    <t>└── total_tokens</t>
    <phoneticPr fontId="1" type="noConversion"/>
  </si>
  <si>
    <t>├── id</t>
  </si>
  <si>
    <t>├── created</t>
    <phoneticPr fontId="1" type="noConversion"/>
  </si>
  <si>
    <t>├── model</t>
    <phoneticPr fontId="1" type="noConversion"/>
  </si>
  <si>
    <t>├── query</t>
    <phoneticPr fontId="1" type="noConversion"/>
  </si>
  <si>
    <t>├── total_results</t>
    <phoneticPr fontId="1" type="noConversion"/>
  </si>
  <si>
    <t>└── references</t>
    <phoneticPr fontId="1" type="noConversion"/>
  </si>
  <si>
    <t xml:space="preserve">    ├── file_name</t>
    <phoneticPr fontId="1" type="noConversion"/>
  </si>
  <si>
    <t xml:space="preserve">    ├── page</t>
    <phoneticPr fontId="1" type="noConversion"/>
  </si>
  <si>
    <t xml:space="preserve">    └── score</t>
    <phoneticPr fontId="1" type="noConversion"/>
  </si>
  <si>
    <t>├── id</t>
    <phoneticPr fontId="1" type="noConversion"/>
  </si>
  <si>
    <t>├── object</t>
    <phoneticPr fontId="1" type="noConversion"/>
  </si>
  <si>
    <t>├── content</t>
    <phoneticPr fontId="1" type="noConversion"/>
  </si>
  <si>
    <t>└── done</t>
    <phoneticPr fontId="1" type="noConversion"/>
  </si>
  <si>
    <t>└── metadata</t>
    <phoneticPr fontId="1" type="noConversion"/>
  </si>
  <si>
    <t>├── query</t>
    <phoneticPr fontId="1" type="noConversion"/>
  </si>
  <si>
    <t>├── stream</t>
    <phoneticPr fontId="1" type="noConversion"/>
  </si>
  <si>
    <t xml:space="preserve">    ├── file_id</t>
    <phoneticPr fontId="1" type="noConversion"/>
  </si>
  <si>
    <t>파일 ID</t>
    <phoneticPr fontId="1" type="noConversion"/>
  </si>
  <si>
    <t>String</t>
    <phoneticPr fontId="1" type="noConversion"/>
  </si>
  <si>
    <t>파일 식별자</t>
    <phoneticPr fontId="1" type="noConversion"/>
  </si>
  <si>
    <t>대화형 챗봇</t>
    <phoneticPr fontId="1" type="noConversion"/>
  </si>
  <si>
    <t>API-CHT-001 / 대화형 챗봇</t>
    <phoneticPr fontId="1" type="noConversion"/>
  </si>
  <si>
    <t>행정안전부 재난관리 AI 시스템</t>
    <phoneticPr fontId="1" type="noConversion"/>
  </si>
  <si>
    <t>임베딩할 텍스트 리스트</t>
    <phoneticPr fontId="1" type="noConversion"/>
  </si>
  <si>
    <t>제목</t>
    <phoneticPr fontId="1" type="noConversion"/>
  </si>
  <si>
    <t>파일 경로</t>
    <phoneticPr fontId="1" type="noConversion"/>
  </si>
  <si>
    <t>문서 요약</t>
    <phoneticPr fontId="1" type="noConversion"/>
  </si>
  <si>
    <t>사용자 질의 텍스트</t>
    <phoneticPr fontId="1" type="noConversion"/>
  </si>
  <si>
    <t>응답 관련 메타정보</t>
    <phoneticPr fontId="1" type="noConversion"/>
  </si>
  <si>
    <t>응답 완료 상태 (true)</t>
    <phoneticPr fontId="1" type="noConversion"/>
  </si>
  <si>
    <t>└── text</t>
    <phoneticPr fontId="1" type="noConversion"/>
  </si>
  <si>
    <t>title</t>
    <phoneticPr fontId="1" type="noConversion"/>
  </si>
  <si>
    <t>file_path</t>
    <phoneticPr fontId="1" type="noConversion"/>
  </si>
  <si>
    <t>세션 ID</t>
  </si>
  <si>
    <t>└── choices</t>
  </si>
  <si>
    <t>선택지 목록</t>
  </si>
  <si>
    <t>응답 선택지 배열</t>
  </si>
  <si>
    <t>    ├── delta</t>
  </si>
  <si>
    <t>변화 내용</t>
  </si>
  <si>
    <t>증분 응답 데이터</t>
  </si>
  <si>
    <t>선택지 번호</t>
  </si>
  <si>
    <t>Number</t>
  </si>
  <si>
    <t>선택지 인덱스 (0부터 시작)</t>
  </si>
  <si>
    <t>[DONE]</t>
  </si>
  <si>
    <t>완료 신호</t>
  </si>
  <si>
    <t>스트리밍 종료 표시</t>
  </si>
  <si>
    <t>HTTP/1.1 200 OK
Content-Type: text/event-stream;charset=UTF-8
Cache-Control: no-cache
Connection: keep-alive
data: {"id":"chat-xyz","choices":[{"delta":{"content":"태풍"},"index":0}]}
data: {"id":"chat-xyz","choices":[{"delta":{"content":" 대비"},"index":0}]}
data: {"id":"chat-xyz","choices":[{"delta":{"content":" 행동"},"index":0}]}
data: [DONE]</t>
    <phoneticPr fontId="1" type="noConversion"/>
  </si>
  <si>
    <t>HTTP/1.1 200 OK
Content-Type: text/event-stream;charset=UTF-8
Cache-Control: no-cache
Connection: keep-alive
data: {"object":"chat","content":"재난안전은","done":false}
data: {"object":"chat","content":" 자연재해나","done":false}
data: {"object":"chat","content":" 인위적 재해로부터","done":false}
data: {"object":"chat","content":"","done":true}
data: {"object":"meta","metadata":{"id":"chat-a1b2c3d4","created":1695708000,"model":"mois","query":"재난안전에 대해 알려주세요","total_results":3,"references":[{"file_name":"disaster_safety_guide.pdf","file_path":"/documents/safety/","page":"1","score":0.956789}]}}
data: [DONE]</t>
    <phoneticPr fontId="1" type="noConversion"/>
  </si>
  <si>
    <t>요청 데이터 객체</t>
  </si>
  <si>
    <t>문서 제목</t>
    <phoneticPr fontId="1" type="noConversion"/>
  </si>
  <si>
    <t>원본 문서 파일 경로</t>
    <phoneticPr fontId="1" type="noConversion"/>
  </si>
  <si>
    <t>model</t>
    <phoneticPr fontId="1" type="noConversion"/>
  </si>
  <si>
    <t>공통 정보</t>
    <phoneticPr fontId="1" type="noConversion"/>
  </si>
  <si>
    <t>├── id</t>
    <phoneticPr fontId="1" type="noConversion"/>
  </si>
  <si>
    <t xml:space="preserve">    ├── id</t>
    <phoneticPr fontId="1" type="noConversion"/>
  </si>
  <si>
    <t>청크 ID</t>
    <phoneticPr fontId="1" type="noConversion"/>
  </si>
  <si>
    <t>해당 청크 식별자</t>
    <phoneticPr fontId="1" type="noConversion"/>
  </si>
  <si>
    <t>└── range</t>
    <phoneticPr fontId="1" type="noConversion"/>
  </si>
  <si>
    <t>문서 ID</t>
    <phoneticPr fontId="1" type="noConversion"/>
  </si>
  <si>
    <t>문서의 고유 식별자</t>
    <phoneticPr fontId="1" type="noConversion"/>
  </si>
  <si>
    <t>범위</t>
    <phoneticPr fontId="1" type="noConversion"/>
  </si>
  <si>
    <t>개정 이력</t>
    <phoneticPr fontId="1" type="noConversion"/>
  </si>
  <si>
    <t>https://plf.mois-disaster.t3q.ai/embeddings/bge-m3</t>
    <phoneticPr fontId="1" type="noConversion"/>
  </si>
  <si>
    <t>N</t>
    <phoneticPr fontId="1" type="noConversion"/>
  </si>
  <si>
    <t>├── session_id</t>
    <phoneticPr fontId="1" type="noConversion"/>
  </si>
  <si>
    <t>└── user_id</t>
    <phoneticPr fontId="1" type="noConversion"/>
  </si>
  <si>
    <t>├── scenario</t>
    <phoneticPr fontId="1" type="noConversion"/>
  </si>
  <si>
    <t>summary</t>
  </si>
  <si>
    <t>요청된 범위에 따른 문서 요약 내용</t>
  </si>
  <si>
    <t>요약 내용</t>
  </si>
  <si>
    <t>preview</t>
    <phoneticPr fontId="1" type="noConversion"/>
  </si>
  <si>
    <t>요약 범위 ("chunk": 특정 청크, "file": 문서 전체)</t>
    <phoneticPr fontId="1" type="noConversion"/>
  </si>
  <si>
    <t>API-CHT-002 / 문서 열람</t>
    <phoneticPr fontId="1" type="noConversion"/>
  </si>
  <si>
    <t>https://plf.mois-disaster.t3q.ai/model-api/93c49/documents</t>
    <phoneticPr fontId="1" type="noConversion"/>
  </si>
  <si>
    <t>https://plf.mois-disaster.t3q.ai/model-api/93c49/chat</t>
    <phoneticPr fontId="1" type="noConversion"/>
  </si>
  <si>
    <t>POST /model-api/93c49/chat
Content-Type: application/json;charset=UTF-8
{
  "data": {
    "query": "재난안전에 대해 알려주세요",
    "stream": true,
    "scenario": "PRV",
    "session_id": "session_12345",
    "user_id": "user_67890"
  }
}</t>
    <phoneticPr fontId="1" type="noConversion"/>
  </si>
  <si>
    <t>HTTP/1.1 200 OK
Content-Type: application/json;charset=UTF-8
{
  "object": "chat",
  "content": "재난안전은 자연재해나 인위적 재해로부터 국민의 생명과 재산을 보호하는 것을 말합니다...",
  "done": true,
  "metadata": {
    "id": "chat-a1b2c3d4",
    "created": 1695708000,
    "model": "mois",
    "query": "재난안전에 대해 알려주세요",
    "total_results": 3,
    "references": [
      {
        "file_id": "3CsP7pgBcuhXNHOVRiAn"
        "file_name": "disaster_safety_guide.pdf",
        "file_path": "/documents/safety/",
        "page": "1",
        "score": 0.956789
      }
    ]
  }
}</t>
    <phoneticPr fontId="1" type="noConversion"/>
  </si>
  <si>
    <t>String</t>
    <phoneticPr fontId="1" type="noConversion"/>
  </si>
  <si>
    <t>세션 ID</t>
    <phoneticPr fontId="1" type="noConversion"/>
  </si>
  <si>
    <t>사용자 ID</t>
    <phoneticPr fontId="1" type="noConversion"/>
  </si>
  <si>
    <t>채팅 세션 식별자</t>
    <phoneticPr fontId="1" type="noConversion"/>
  </si>
  <si>
    <t>사용자 식별자</t>
    <phoneticPr fontId="1" type="noConversion"/>
  </si>
  <si>
    <t>N</t>
    <phoneticPr fontId="1" type="noConversion"/>
  </si>
  <si>
    <t>미리보기 URL</t>
    <phoneticPr fontId="1" type="noConversion"/>
  </si>
  <si>
    <t>문서 이미지 미리보기 URL</t>
    <phoneticPr fontId="1" type="noConversion"/>
  </si>
  <si>
    <t>POST /model-api/93c49/documents
Content-Type: application/json;charset=UTF-8
{
  "data": {
    "id": "6CsP7pgBcuhXNHOVRiAn",
    "range": "chunk"
  }
}</t>
    <phoneticPr fontId="1" type="noConversion"/>
  </si>
  <si>
    <t>/model-api/93c49/chat</t>
  </si>
  <si>
    <t>/model-api/93c49/documents</t>
    <phoneticPr fontId="1" type="noConversion"/>
  </si>
  <si>
    <t>사용자 질의에 대한 대화형 AI 챗봇 응답 제공</t>
    <phoneticPr fontId="1" type="noConversion"/>
  </si>
  <si>
    <t>문서 열람</t>
    <phoneticPr fontId="1" type="noConversion"/>
  </si>
  <si>
    <t>id</t>
    <phoneticPr fontId="1" type="noConversion"/>
  </si>
  <si>
    <t>URL 경로에 포함되는 문서의 고유 식별자</t>
    <phoneticPr fontId="1" type="noConversion"/>
  </si>
  <si>
    <t>GET /model-api/93c49/documents/6CsP7pgBcuhXNHOVRiAn/preview</t>
    <phoneticPr fontId="1" type="noConversion"/>
  </si>
  <si>
    <t>Binary Data</t>
    <phoneticPr fontId="1" type="noConversion"/>
  </si>
  <si>
    <t>이미지 데이터</t>
    <phoneticPr fontId="1" type="noConversion"/>
  </si>
  <si>
    <t>Binary</t>
    <phoneticPr fontId="1" type="noConversion"/>
  </si>
  <si>
    <t>PNG 형식의 이미지 바이너리 데이터</t>
    <phoneticPr fontId="1" type="noConversion"/>
  </si>
  <si>
    <t>API-CHT-003 / 문서 이미지 미리보기</t>
    <phoneticPr fontId="1" type="noConversion"/>
  </si>
  <si>
    <t>문서 ID를 통해 해당 문서의 미리보기 이미지를 조회</t>
    <phoneticPr fontId="1" type="noConversion"/>
  </si>
  <si>
    <t>https://plf.mois-disaster.t3q.ai/model-api/93c49/documents/{id}/preview</t>
    <phoneticPr fontId="1" type="noConversion"/>
  </si>
  <si>
    <t>/model-api/93c49/documents/{id}/preview</t>
  </si>
  <si>
    <t>GET</t>
    <phoneticPr fontId="1" type="noConversion"/>
  </si>
  <si>
    <t>문서 ID를 통해 해당 문서의 미리보기 이미지를 조회</t>
    <phoneticPr fontId="1" type="noConversion"/>
  </si>
  <si>
    <t>문서 이미지 미리보기</t>
    <phoneticPr fontId="1" type="noConversion"/>
  </si>
  <si>
    <t>API-AGT-001 / 문서 요약</t>
    <phoneticPr fontId="1" type="noConversion"/>
  </si>
  <si>
    <t>v0.8</t>
    <phoneticPr fontId="1" type="noConversion"/>
  </si>
  <si>
    <t>v0.8.1</t>
    <phoneticPr fontId="1" type="noConversion"/>
  </si>
  <si>
    <t>박정준</t>
    <phoneticPr fontId="1" type="noConversion"/>
  </si>
  <si>
    <t>모델: BAAI/bge-m3</t>
    <phoneticPr fontId="1" type="noConversion"/>
  </si>
  <si>
    <t>API-EMB-001 / 텍스트 임베딩 변환</t>
    <phoneticPr fontId="1" type="noConversion"/>
  </si>
  <si>
    <t>/model-api/93c49/documents/{id}/download</t>
    <phoneticPr fontId="1" type="noConversion"/>
  </si>
  <si>
    <t>문서 ID를 통해 해당 문서의 원본 파일을 다운로드</t>
    <phoneticPr fontId="1" type="noConversion"/>
  </si>
  <si>
    <t>문서 파일 다운로드</t>
    <phoneticPr fontId="1" type="noConversion"/>
  </si>
  <si>
    <t>문서 ID를 통해 해당 문서의 원본 파일을 다운로드</t>
    <phoneticPr fontId="1" type="noConversion"/>
  </si>
  <si>
    <t>GET /model-api/93c49/documents/6CsP7pgBcuhXNHOVRiAn/download</t>
    <phoneticPr fontId="1" type="noConversion"/>
  </si>
  <si>
    <t>원본 문서 파일의 바이너리 데이터</t>
    <phoneticPr fontId="1" type="noConversion"/>
  </si>
  <si>
    <t>파일 데이터</t>
    <phoneticPr fontId="1" type="noConversion"/>
  </si>
  <si>
    <t xml:space="preserve">HTTP/1.1 200 OK
Content-Type: application/pdf
Content-Length: 549851
Content-Disposition: attachment; filename*=UTF-8''211003%20%EC%9D%BC%EC%83%81%ED%9A%8C%EB%B3%B5%20%EC%A7%80%EC%9B%90%EC%9C%84%EC%9B%90%ED%9A%8C%20%EC%A4%80%EB%B9%84%EC%83%81%ED%99%A9%20%EB%B3%B4%EA%B3%A0.pdf
[Binary File Data]
</t>
    <phoneticPr fontId="1" type="noConversion"/>
  </si>
  <si>
    <t>Content-Type</t>
  </si>
  <si>
    <t>파일 형식</t>
  </si>
  <si>
    <t>다운로드되는 파일의 MIME 타입</t>
  </si>
  <si>
    <t>Content-Length</t>
  </si>
  <si>
    <t>파일 크기</t>
  </si>
  <si>
    <t>파일의 바이트 크기</t>
  </si>
  <si>
    <t>Content-Disposition</t>
  </si>
  <si>
    <t>파일명 정보</t>
  </si>
  <si>
    <t>다운로드 파일명 (UTF-8 인코딩)</t>
  </si>
  <si>
    <t>이미지 형식</t>
  </si>
  <si>
    <t>미리보기 이미지의 MIME 타입</t>
  </si>
  <si>
    <t>이미지 크기</t>
  </si>
  <si>
    <t>이미지 파일의 바이트 크기</t>
  </si>
  <si>
    <t>인라인 표시용 파일명</t>
  </si>
  <si>
    <t>Content-Type</t>
    <phoneticPr fontId="1" type="noConversion"/>
  </si>
  <si>
    <t xml:space="preserve">HTTP/1.1 200 OK
Content-Type: image/png
Content-Length: 245679
Content-Disposition: inline; filename=page.png
[Binary Image Data]
</t>
    <phoneticPr fontId="1" type="noConversion"/>
  </si>
  <si>
    <t>API-CHT-004 / 문서 파일 다운로드</t>
    <phoneticPr fontId="1" type="noConversion"/>
  </si>
  <si>
    <t>API-CHT-004 추가</t>
    <phoneticPr fontId="1" type="noConversion"/>
  </si>
  <si>
    <t>박정준</t>
    <phoneticPr fontId="1" type="noConversion"/>
  </si>
  <si>
    <t>v0.8.2</t>
    <phoneticPr fontId="1" type="noConversion"/>
  </si>
  <si>
    <t>download</t>
    <phoneticPr fontId="1" type="noConversion"/>
  </si>
  <si>
    <t>파일 다운로드 URL</t>
    <phoneticPr fontId="1" type="noConversion"/>
  </si>
  <si>
    <t>String</t>
    <phoneticPr fontId="1" type="noConversion"/>
  </si>
  <si>
    <t>Y</t>
    <phoneticPr fontId="1" type="noConversion"/>
  </si>
  <si>
    <t>문서 파일 다운로드 URL</t>
    <phoneticPr fontId="1" type="noConversion"/>
  </si>
  <si>
    <t xml:space="preserve">HTTP/1.1 200 OK
Content-Type: application/json;charset=UTF-8
{
  "title": "211003 일상회복 지원위원회 준비상황 보고",
  "file_path": "/data/docs/mois/raw/211003 일상회복 지원위원회 준비상황 보고.pdf",
  "summary": "보건복지부에 위원회 사무국을 두어 효율적인 운영을 지원하며, 사무국장은 장관이 지명하는 고위공무원이 맡는다. 위원회는 업무 수행을 위해 관계 기관의 인력 파견, 자료 제출, 전문 조사, 여론 수렴 등을 요청할 수 있으며, 위원들은 업무상 알게 된 정보를 비밀로 유지해야 한다.",
  "preview": "https://plf.mois-disaster.t3q.ai/model-api/93c49/documents/6CsP7pgBcuhXNHOVRiAn/preview",
  "download": "https://plf.mois-disaster.t3q.ai/model-api/93c49/documents/6CsP7pgBcuhXNHOVRiAn/download"
}
</t>
    <phoneticPr fontId="1" type="noConversion"/>
  </si>
  <si>
    <t>모델: Qwen/Qwen3-30B-A3B-Instruct-2507</t>
    <phoneticPr fontId="1" type="noConversion"/>
  </si>
  <si>
    <t>│ ├── role</t>
    <phoneticPr fontId="1" type="noConversion"/>
  </si>
  <si>
    <t>    │  └── content</t>
    <phoneticPr fontId="1" type="noConversion"/>
  </si>
  <si>
    <t>스트리밍 응답(stream=True)</t>
    <phoneticPr fontId="1" type="noConversion"/>
  </si>
  <si>
    <t>1. 채팅 스트리밍 데이터</t>
    <phoneticPr fontId="1" type="noConversion"/>
  </si>
  <si>
    <t>2. 채팅 완료 신호</t>
    <phoneticPr fontId="1" type="noConversion"/>
  </si>
  <si>
    <t>3. 메타데이터</t>
    <phoneticPr fontId="1" type="noConversion"/>
  </si>
  <si>
    <t>4. 완전 종료 신호</t>
    <phoneticPr fontId="1" type="noConversion"/>
  </si>
  <si>
    <t>2. 완료 신호</t>
    <phoneticPr fontId="1" type="noConversion"/>
  </si>
  <si>
    <t>result</t>
    <phoneticPr fontId="1" type="noConversion"/>
  </si>
  <si>
    <t>결과</t>
    <phoneticPr fontId="1" type="noConversion"/>
  </si>
  <si>
    <t>HTTP/1.1 200 OK
Content-Type: application/json;charset=UTF-8</t>
    <phoneticPr fontId="1" type="noConversion"/>
  </si>
  <si>
    <t xml:space="preserve">POST
Content-Type: application/json;charset=UTF-8
</t>
    <phoneticPr fontId="1" type="noConversion"/>
  </si>
  <si>
    <t>문서의 주제</t>
  </si>
  <si>
    <t>재난 배경 정보 객체</t>
  </si>
  <si>
    <t>재난의 유형</t>
  </si>
  <si>
    <t>관리단계</t>
  </si>
  <si>
    <t>발생장소</t>
  </si>
  <si>
    <t>재난 발생 장소</t>
  </si>
  <si>
    <t>발생일시</t>
  </si>
  <si>
    <t>재난 발생 일시 (date-time 형식)</t>
  </si>
  <si>
    <t>종료일시</t>
  </si>
  <si>
    <t>재난 종료 일시 (date-time 형식)</t>
  </si>
  <si>
    <t>보고 일시 (date-time 형식)</t>
  </si>
  <si>
    <t>문서 내용 작성 지침 객체</t>
  </si>
  <si>
    <t>출처</t>
  </si>
  <si>
    <t>정보의 출처</t>
  </si>
  <si>
    <t>반드시 포함해야 할 요소 목록</t>
  </si>
  <si>
    <t>문서 작성 가이드</t>
  </si>
  <si>
    <t>문서 표현 규칙 객체</t>
  </si>
  <si>
    <t>문체</t>
  </si>
  <si>
    <t>문서의 문체</t>
  </si>
  <si>
    <t>문장길이제한</t>
  </si>
  <si>
    <t>문장 최대 길이 제한</t>
  </si>
  <si>
    <t>문단개요번호</t>
  </si>
  <si>
    <t>문단 개요번호 표시 모양</t>
  </si>
  <si>
    <t>본문시작규칙</t>
  </si>
  <si>
    <t>본문 문장 시작 규칙</t>
  </si>
  <si>
    <t>문서용도</t>
  </si>
  <si>
    <t>문서 용도 관련 정보 객체</t>
  </si>
  <si>
    <t>문서 작성의 업무 목적</t>
  </si>
  <si>
    <t>문서 작성자의 역할</t>
  </si>
  <si>
    <t>대상독자</t>
  </si>
  <si>
    <t>대상 독자 (중앙정부/지자체/내부보고/대민)</t>
  </si>
  <si>
    <t>i</t>
    <phoneticPr fontId="1" type="noConversion"/>
  </si>
  <si>
    <t>├── subject</t>
  </si>
  <si>
    <t>├── backgroundInfo</t>
  </si>
  <si>
    <t>│   ├── disasterType</t>
  </si>
  <si>
    <t>│   ├── controlPhase</t>
  </si>
  <si>
    <t>│   ├── location</t>
  </si>
  <si>
    <t>│   ├── startTime</t>
  </si>
  <si>
    <t>│   ├── endTime</t>
  </si>
  <si>
    <t>│   └── reportTime</t>
  </si>
  <si>
    <t>├── contentInstruction</t>
  </si>
  <si>
    <t>│   └── writingGuide</t>
  </si>
  <si>
    <t>│   ├── tone</t>
  </si>
  <si>
    <t>│   ├── maxSentenceLength</t>
  </si>
  <si>
    <t>해당 청크 식별자</t>
  </si>
  <si>
    <t>파일 식별자</t>
  </si>
  <si>
    <t xml:space="preserve">    ├── id</t>
    <phoneticPr fontId="1" type="noConversion"/>
  </si>
  <si>
    <t>문서 ID를 통해 해당 문서 안의 이미지를 조회</t>
    <phoneticPr fontId="1" type="noConversion"/>
  </si>
  <si>
    <t>문서 속 이미지 조회</t>
  </si>
  <si>
    <t>문서 파일 다운로드</t>
    <phoneticPr fontId="1" type="noConversion"/>
  </si>
  <si>
    <t>문서 ID를 통해 해당 문서 안의 이미지를 조회</t>
    <phoneticPr fontId="1" type="noConversion"/>
  </si>
  <si>
    <t>문서 ID를 통해 해당 문서의 원본 파일을 다운로드</t>
    <phoneticPr fontId="1" type="noConversion"/>
  </si>
  <si>
    <t>/model-api/ae894/documents/{id}/download</t>
    <phoneticPr fontId="1" type="noConversion"/>
  </si>
  <si>
    <t>특정 시나리오 식별자 ("PRV": 재난안전예방및훈련, "MAN": 위기대응매뉴얼, null/생략시: 일반 질의응답)</t>
    <phoneticPr fontId="1" type="noConversion"/>
  </si>
  <si>
    <t>입력 주제를 기반으로 한 재난안전계획서 목차 자동 생성</t>
    <phoneticPr fontId="1" type="noConversion"/>
  </si>
  <si>
    <t>일일상황일지 자동생성</t>
    <phoneticPr fontId="1" type="noConversion"/>
  </si>
  <si>
    <t>/model-api/ae894/reports/plan/toc</t>
    <phoneticPr fontId="1" type="noConversion"/>
  </si>
  <si>
    <t>/model-api/ae894/reports/plan/content</t>
    <phoneticPr fontId="1" type="noConversion"/>
  </si>
  <si>
    <t>/model-api/ae894/reports/daily</t>
  </si>
  <si>
    <t>/model-api/ae894/reports/daily</t>
    <phoneticPr fontId="1" type="noConversion"/>
  </si>
  <si>
    <t xml:space="preserve">/model-api/ae894/documents/{id}/images/{image_Id} </t>
    <phoneticPr fontId="1" type="noConversion"/>
  </si>
  <si>
    <t>API-RPT-004 / 문서 속 이미지 조회</t>
    <phoneticPr fontId="1" type="noConversion"/>
  </si>
  <si>
    <t>API-RPT-005 / 문서 파일 다운로드</t>
    <phoneticPr fontId="1" type="noConversion"/>
  </si>
  <si>
    <t>재난안전계획서 목차 자동생성</t>
    <phoneticPr fontId="1" type="noConversion"/>
  </si>
  <si>
    <t>API-RPT-001 / 재난안전계획서 목차 자동생성</t>
    <phoneticPr fontId="1" type="noConversion"/>
  </si>
  <si>
    <t>입력 주제를 기반으로 한 재난안전계획서 목차 자동 생성</t>
    <phoneticPr fontId="1" type="noConversion"/>
  </si>
  <si>
    <t>재난안전계획서 본문 자동생성</t>
    <phoneticPr fontId="1" type="noConversion"/>
  </si>
  <si>
    <t>API-RPT-002 / 재난안전계획서 본문 자동생성</t>
    <phoneticPr fontId="1" type="noConversion"/>
  </si>
  <si>
    <t>API-RPT-003 / 일일상황일지 자동생성</t>
    <phoneticPr fontId="1" type="noConversion"/>
  </si>
  <si>
    <t>사용자 입력 정보를 기반으로 한 재난안전계획서 본문 자동 생성</t>
    <phoneticPr fontId="1" type="noConversion"/>
  </si>
  <si>
    <t>사용자 입력 정보를 기반으로 한 일일상황일지 자동 생성</t>
    <phoneticPr fontId="1" type="noConversion"/>
  </si>
  <si>
    <t>사용자 입력 정보를 기반으로 한 일일상황일지 자동 생성</t>
    <phoneticPr fontId="1" type="noConversion"/>
  </si>
  <si>
    <t>사용자 입력 정보를 기반으로 한 재난안전계획서 본문 자동 생성</t>
    <phoneticPr fontId="1" type="noConversion"/>
  </si>
  <si>
    <t>생성된 본문 내용</t>
    <phoneticPr fontId="1" type="noConversion"/>
  </si>
  <si>
    <t>운영</t>
    <phoneticPr fontId="1" type="noConversion"/>
  </si>
  <si>
    <t>운영</t>
    <phoneticPr fontId="1" type="noConversion"/>
  </si>
  <si>
    <t>주어진 텍스트를 요약하는 에이전트</t>
    <phoneticPr fontId="1" type="noConversion"/>
  </si>
  <si>
    <t>주어진 텍스트를 요약하는 에이전트</t>
    <phoneticPr fontId="1" type="noConversion"/>
  </si>
  <si>
    <t>/model-api/2b3df/agents/summary</t>
    <phoneticPr fontId="1" type="noConversion"/>
  </si>
  <si>
    <t>/model-api/2b3df/agents/summary</t>
    <phoneticPr fontId="1" type="noConversion"/>
  </si>
  <si>
    <t>│   └── bodytextStart</t>
    <phoneticPr fontId="1" type="noConversion"/>
  </si>
  <si>
    <t>├── expressionRule</t>
    <phoneticPr fontId="1" type="noConversion"/>
  </si>
  <si>
    <t>├── purposeOfDocument</t>
    <phoneticPr fontId="1" type="noConversion"/>
  </si>
  <si>
    <t>│   ├── paragraphSymbol</t>
    <phoneticPr fontId="1" type="noConversion"/>
  </si>
  <si>
    <t>│   ├── goalOfBusiness</t>
    <phoneticPr fontId="1" type="noConversion"/>
  </si>
  <si>
    <t>│   ├── role</t>
    <phoneticPr fontId="1" type="noConversion"/>
  </si>
  <si>
    <t>    └── index</t>
    <phoneticPr fontId="1" type="noConversion"/>
  </si>
  <si>
    <t>Y</t>
    <phoneticPr fontId="1" type="noConversion"/>
  </si>
  <si>
    <t>문서 ID와 범위를 지정하여 문서 요약 내용 및 미리보기 URL을 제공하는 문서 열람</t>
    <phoneticPr fontId="1" type="noConversion"/>
  </si>
  <si>
    <t>API-CHT-001 보완 / API-CHT-002 추가</t>
    <phoneticPr fontId="1" type="noConversion"/>
  </si>
  <si>
    <t>API-CHT-001, 002 보완 / API-CHT-003 추가</t>
    <phoneticPr fontId="1" type="noConversion"/>
  </si>
  <si>
    <t>v0.8.3</t>
    <phoneticPr fontId="1" type="noConversion"/>
  </si>
  <si>
    <t>API-RPT-001, 002 보완 및 엔드포인트 변경</t>
    <phoneticPr fontId="1" type="noConversion"/>
  </si>
  <si>
    <t>응답 형식</t>
    <phoneticPr fontId="1" type="noConversion"/>
  </si>
  <si>
    <t>Content-Type</t>
    <phoneticPr fontId="1" type="noConversion"/>
  </si>
  <si>
    <t>JSON, SSE (Server-Sent Events)</t>
    <phoneticPr fontId="1" type="noConversion"/>
  </si>
  <si>
    <t>application/json;charset=UTF-8 (POST), text/event-stream (SSE)</t>
    <phoneticPr fontId="1" type="noConversion"/>
  </si>
  <si>
    <t>지원 메서드</t>
    <phoneticPr fontId="1" type="noConversion"/>
  </si>
  <si>
    <t>GET, POST</t>
    <phoneticPr fontId="1" type="noConversion"/>
  </si>
  <si>
    <t>필수포함요소</t>
    <phoneticPr fontId="1" type="noConversion"/>
  </si>
  <si>
    <t>│   ├── essentialFactors</t>
    <phoneticPr fontId="1" type="noConversion"/>
  </si>
  <si>
    <t>└── purposeOfDocument</t>
    <phoneticPr fontId="1" type="noConversion"/>
  </si>
  <si>
    <t>생성된 문서의 제목</t>
  </si>
  <si>
    <t>섹션목록</t>
  </si>
  <si>
    <t>섹션제목</t>
  </si>
  <si>
    <t>계층 표시를 포함한 섹션 제목</t>
  </si>
  <si>
    <t>sections</t>
  </si>
  <si>
    <t>├── name</t>
    <phoneticPr fontId="1" type="noConversion"/>
  </si>
  <si>
    <t>계층 표시를 포함한 섹션 제목</t>
    <phoneticPr fontId="1" type="noConversion"/>
  </si>
  <si>
    <t>하위섹션</t>
  </si>
  <si>
    <t>└── children</t>
    <phoneticPr fontId="1" type="noConversion"/>
  </si>
  <si>
    <t>│   ├── source</t>
    <phoneticPr fontId="1" type="noConversion"/>
  </si>
  <si>
    <t>│   ├── name</t>
    <phoneticPr fontId="1" type="noConversion"/>
  </si>
  <si>
    <t>│   └── children</t>
    <phoneticPr fontId="1" type="noConversion"/>
  </si>
  <si>
    <t>├── sections</t>
    <phoneticPr fontId="1" type="noConversion"/>
  </si>
  <si>
    <t>├── content</t>
  </si>
  <si>
    <t>해당 섹션의 생성된 본문 내용</t>
  </si>
  <si>
    <t>참조문서</t>
  </si>
  <si>
    <t>해당 섹션에서 참조된 문서 목록</t>
  </si>
  <si>
    <t>청크ID</t>
  </si>
  <si>
    <t>파일ID</t>
  </si>
  <si>
    <t>├── references</t>
  </si>
  <si>
    <t>│ ├── id</t>
  </si>
  <si>
    <t>│ └── page</t>
  </si>
  <si>
    <t>2. 종료 신호</t>
    <phoneticPr fontId="1" type="noConversion"/>
  </si>
  <si>
    <t xml:space="preserve">    └── page</t>
    <phoneticPr fontId="1" type="noConversion"/>
  </si>
  <si>
    <t>하위 섹션 배열</t>
    <phoneticPr fontId="1" type="noConversion"/>
  </si>
  <si>
    <t>하위 섹션 배열</t>
    <phoneticPr fontId="1" type="noConversion"/>
  </si>
  <si>
    <t>목차 섹션 배열 (재귀 구조)</t>
    <phoneticPr fontId="1" type="noConversion"/>
  </si>
  <si>
    <t>생성된 본문 섹션 배열 (재귀 구조)</t>
    <phoneticPr fontId="1" type="noConversion"/>
  </si>
  <si>
    <t>하위 섹션 배열.</t>
    <phoneticPr fontId="1" type="noConversion"/>
  </si>
  <si>
    <t>Y</t>
    <phoneticPr fontId="1" type="noConversion"/>
  </si>
  <si>
    <t>POST /embeddings/bge-m3
Content-Type: application/json;charset=UTF-8
{
  "data": {
    "text": [
      "안녕하세요. 임베딩을 테스트합니다.",
      "두 번째 문장입니다."
    ],
    "return_dense": true,
    "return_sparse": true,
    "return_colbert_vecs": false,
    "batch_size": 32,
    "max_length": 8192,
    "decode_sparse_tokens": true
  }
}</t>
    <phoneticPr fontId="1" type="noConversion"/>
  </si>
  <si>
    <t>목차 섹션 배열 (재귀구조) (API-RPT-001 응답의 sections 형태와 동일)</t>
    <phoneticPr fontId="1" type="noConversion"/>
  </si>
  <si>
    <t>│ ├── fileId</t>
    <phoneticPr fontId="1" type="noConversion"/>
  </si>
  <si>
    <t>│ ├── fileName</t>
    <phoneticPr fontId="1" type="noConversion"/>
  </si>
  <si>
    <t xml:space="preserve">    ├── fileId</t>
    <phoneticPr fontId="1" type="noConversion"/>
  </si>
  <si>
    <t xml:space="preserve">    ├── fileName</t>
    <phoneticPr fontId="1" type="noConversion"/>
  </si>
  <si>
    <t>https://plf.mois-disaster.t3q.ai/model-api/ae894/reports/plan/toc</t>
    <phoneticPr fontId="1" type="noConversion"/>
  </si>
  <si>
    <t>HTTP/1.1 200 OK
Content-Type: text/event-stream;charset=UTF-8
Cache-Control: no-cache
Connection: keep-alive
data: {"name": "1.1. 목적", "content": "본 계획은 코로나19 감염병 확산을 방지하고 신속한 대응 체계를 구축하기 위해 수립되었습니다...", "references": [{"id": "chunk_101", "fileId": "file_201", "fileName": "감염병예방법.pdf", "page": "4"}]}
data: {"name": "1.2. 추진 배경", "content": "2024년 1월 코로나19 변이 바이러스의 확산으로 인해 경기도 수원시 내 확진자가 급증하였습니다...", "references": [{"id": "chunk_103", "fileId": "file_203", "fileName": "감염병발생동향.pdf", "page": "8"}]}
data: {"name": "2.1. 발생 현황", "content": "2024년 1월 15일부터 2월 1일까지 경기도 수원시 내 코로나19 확진자는 총 1,247명으로 집계되었습니다...", "references": [{"id": "chunk_104", "fileId": "file_204", "fileName": "확진자통계.pdf", "page": "15"}]}
data: {"name": "2.2. 확진자 추이", "content": "최근 2주간 일일 평균 확진자는 73명으로, 전주 대비 약 28% 증가한 수치입니다...", "references": []}
data: [DONE]</t>
    <phoneticPr fontId="1" type="noConversion"/>
  </si>
  <si>
    <t>API-OCR-001</t>
    <phoneticPr fontId="1" type="noConversion"/>
  </si>
  <si>
    <t>https://plf.mois-disaster.t3q.ai/model-api/93c49/documents/{file_id}/download</t>
    <phoneticPr fontId="1" type="noConversion"/>
  </si>
  <si>
    <t>file_id</t>
    <phoneticPr fontId="1" type="noConversion"/>
  </si>
  <si>
    <t>Array[String]</t>
    <phoneticPr fontId="1" type="noConversion"/>
  </si>
  <si>
    <t>Array[String]</t>
    <phoneticPr fontId="1" type="noConversion"/>
  </si>
  <si>
    <t>title</t>
    <phoneticPr fontId="1" type="noConversion"/>
  </si>
  <si>
    <t>├── name</t>
    <phoneticPr fontId="1" type="noConversion"/>
  </si>
  <si>
    <t>├── contentInstruction</t>
    <phoneticPr fontId="1" type="noConversion"/>
  </si>
  <si>
    <t>POST /model-api/ae894/reports/plan/toc
Content-Type: application/json;charset=UTF-8
{
  "data": {
    "subject": "2024년 코로나19 대응 계획",
    "backgroundInfo": {
      "disasterType": "감염병",
      "controlPhase": "대응"
    },
    "contentInstruction": {
      "writingGuide": "1., 1.1. 형식으로 4. 까지 넘버링하고 2단계 계층까지만. 각 계층에는 최대 3개 섹션."
    }
  }
}</t>
    <phoneticPr fontId="1" type="noConversion"/>
  </si>
  <si>
    <t>디코딩된 토큰 문자열 배열</t>
    <phoneticPr fontId="1" type="noConversion"/>
  </si>
  <si>
    <t>│   └── targetAudiences</t>
    <phoneticPr fontId="1" type="noConversion"/>
  </si>
  <si>
    <t>대상독자</t>
    <phoneticPr fontId="1" type="noConversion"/>
  </si>
  <si>
    <t>https://plf.mois-disaster.t3q.ai/model-api/ae894/reports/plan/content</t>
    <phoneticPr fontId="1" type="noConversion"/>
  </si>
  <si>
    <t>API-RPT-001, 002 수정: targetAudience (String) -&gt; targetAudiences (Array)</t>
    <phoneticPr fontId="1" type="noConversion"/>
  </si>
  <si>
    <t>박정준</t>
    <phoneticPr fontId="1" type="noConversion"/>
  </si>
  <si>
    <t>v0.8.4</t>
    <phoneticPr fontId="1" type="noConversion"/>
  </si>
  <si>
    <t>https://plf.mois-disaster.t3q.ai/llms/v1/chat/completions</t>
    <phoneticPr fontId="1" type="noConversion"/>
  </si>
  <si>
    <t>v0.8.5</t>
    <phoneticPr fontId="1" type="noConversion"/>
  </si>
  <si>
    <t>└── systemPrompt</t>
    <phoneticPr fontId="1" type="noConversion"/>
  </si>
  <si>
    <t>│   ├── tone</t>
    <phoneticPr fontId="1" type="noConversion"/>
  </si>
  <si>
    <t>│   ├── source</t>
    <phoneticPr fontId="1" type="noConversion"/>
  </si>
  <si>
    <t>시스템프롬프트</t>
    <phoneticPr fontId="1" type="noConversion"/>
  </si>
  <si>
    <t>LLM 요청에 들어갈 시스템 프롬프트 (미입력 시 시스템프롬프트 사용 안함)</t>
    <phoneticPr fontId="1" type="noConversion"/>
  </si>
  <si>
    <t>│   ├── disasterType</t>
    <phoneticPr fontId="1" type="noConversion"/>
  </si>
  <si>
    <t>Y</t>
    <phoneticPr fontId="1" type="noConversion"/>
  </si>
  <si>
    <t>Y</t>
    <phoneticPr fontId="1" type="noConversion"/>
  </si>
  <si>
    <t>대상 독자 배열 (중앙정부/지자체/내부보고/대민)</t>
    <phoneticPr fontId="1" type="noConversion"/>
  </si>
  <si>
    <t>HTTP/1.1 200 OK
Content-Type: application/json;charset=UTF-8
{
  "sections": [
    {
      "name": "1. 개요",
      "content": "",
      "references": [],
      "children": [
        {
          "name": "1.1. 목적",
          "content": "본 계획은 코로나19 감염병 확산을 방지하고 신속한 대응 체계를 구축하기 위해 수립되었습니다. 감염병의 예방 및 관리에 관한 법률 제4조에 따라 지역사회 내 감염병 전파를 차단하고 시민의 생명과 안전을 보호하는 것을 목표로 합니다.",
          "references": [
            {
              "id": "chunk_101",
              "fileId": "file_201",
              "fileName": "감염병예방법.pdf",
              "page": "4"
            },
            {
              "id": "chunk_102",
              "fileId": "file_202",
              "fileName": "코로나19대응지침.pdf",
              "page": "12"
            }
          ],
          "children": []
        },
        {
          "name": "1.2. 추진 배경",
          "content": "2024년 1월 코로나19 변이 바이러스의 확산으로 인해 경기도 수원시 내 확진자가 급증하였습니다. 이에 따라 지역사회 전파 차단 및 의료 체계 안정화를 위한 종합적인 대응 방안 마련이 시급한 상황입니다.",
          "references": [
            {
              "id": "chunk_103",
              "fileId": "file_203",
              "fileName": "감염병발생동향.pdf",
              "page": "8"
            }
          ],
          "children": []
        }
      ]
    },
    {
      "name": "2. 감염병 현황",
      "content": "",
      "references": [],
      "children": [
        {
          "name": "2.1. 발생 현황",
          "content": "2024년 1월 15일부터 2월 1일까지 경기도 수원시 내 코로나19 확진자는 총 1,247명으로 집계되었습니다. 주요 발생 지역은 영통구 523명, 장안구 384명, 권선구 340명 순으로 나타났습니다.",
          "references": [
            {
              "id": "chunk_104",
              "fileId": "file_204",
              "fileName": "확진자통계.pdf",
              "page": "15"
            }
          ],
          "children": []
        },
        {
          "name": "2.2. 확진자 추이",
          "content": "최근 2주간 일일 평균 확진자는 73명으로, 전주 대비 약 28% 증가한 수치입니다. 특히 60세 이상 고령층 확진자 비율이 42%를 차지하며, 중증화 위험이 높은 취약계층에 대한 집중 관리가 필요한 상황입니다.",
          "references": [],
          "children": []
        }
      ]
    }
  ]
}</t>
    <phoneticPr fontId="1" type="noConversion"/>
  </si>
  <si>
    <t>HTTP/1.1 200 OK
Content-Type: application/json;charset=UTF-8
{
  "title": "2024년 코로나19 감염병 대응 계획서",
  "sections": [
    {
      "name": "1. 개요",
      "children": [
        {"name": "1.1. 목적", "children": []},
        {"name": "1.2. 추진 배경", "children": []},
        {"name": "1.3. 법적 근거", "children": []}
      ]
    },
    {
      "name": "2. 감염병 현황",
      "children": [
        {"name": "2.1. 발생 현황", "children": []},
        {"name": "2.2. 확진자 추이", "children": []}
      ]
    },
    {
      "name": "3. 대응 체계",
      "children": [
        {"name": "3.1. 방역 조치", "children": []},
        {"name": "3.2. 의료 대응", "children": []},
        {"name": "3.3. 백신 접종", "children": []}
      ]
    },
    {
      "name": "4. 추진 일정",
      "children": [
        {"name": "4.1. 단계별 일정", "children": []},
        {"name": "4.2. 소요 예산", "children": []}
      ]
    }
  ]
}</t>
    <phoneticPr fontId="1" type="noConversion"/>
  </si>
  <si>
    <t>1-1. 본문 스트리밍 데이터</t>
    <phoneticPr fontId="1" type="noConversion"/>
  </si>
  <si>
    <t>1-2. 에러 데이터</t>
    <phoneticPr fontId="1" type="noConversion"/>
  </si>
  <si>
    <t>└── error</t>
    <phoneticPr fontId="1" type="noConversion"/>
  </si>
  <si>
    <t>에러메시지</t>
    <phoneticPr fontId="1" type="noConversion"/>
  </si>
  <si>
    <t>에러 발생 시 오류 내용</t>
    <phoneticPr fontId="1" type="noConversion"/>
  </si>
  <si>
    <t>├── requestId</t>
    <phoneticPr fontId="1" type="noConversion"/>
  </si>
  <si>
    <t>스트리밍 응답 여부 (기본값: true)</t>
    <phoneticPr fontId="1" type="noConversion"/>
  </si>
  <si>
    <t>POST /model-api/ae894/reports/plan/content
Content-Type: application/json;charset=UTF-8
{
  "data": {
    "subject": "2024년 코로나19 대응 계획",
    "backgroundInfo": {
      "disasterType": "감염병",
      "controlPhase": "대응",
      "location": "경기도 수원시",
      "startTime": "2024-01-15T00:00:00Z",
      "reportTime": "2024-02-01T00:00:00Z"
    },
    "contentInstruction": {
      "source": "감염병의 예방 및 관리에 관한 법률, 코로나19 대응 지침",
      "essentialFactors": ["확진자 관리", "역학조사", "방역 수칙"],
      "writingGuide": "명확하고 구체적으로 작성"
    },
    "expressionRule": {
      "tone": "공식적이고 객관적인 문체",
      "maxSentenceLength": "60자 이내",
      "paragraphSymbol": "1., 1.1. 형식",
      "bodytextStart": "핵심 내용을 먼저 제시"
    },
    "purposeOfDocument": {
      "goalOfBusiness": "감염병 확산 방지 및 대응 체계 구축",
      "role": "보건정책과 담당자",
      "targetAudiences": ["지자체", "내부보고"]
    },
    "sections": [
      {
        "name": "1. 개요",
        "children": [
          {"name": "1.1. 목적", "children": []},
          {"name": "1.2. 추진 배경", "children": []}
        ]
      },
      {
        "name": "2. 감염병 현황",
        "children": [
          {"name": "2.1. 발생 현황", "children": []},
          {"name": "2.2. 확진자 추이", "children": []}
        ]
      }
    ]
  }
}</t>
    <phoneticPr fontId="1" type="noConversion"/>
  </si>
  <si>
    <t>API-RPT-001, 002 수정: systemPrompt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</si>
</sst>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Arial Unicode MS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3.5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/>
  </cellStyleXfs>
  <cellXfs count="2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3" xfId="0" applyFill="1" applyBorder="1" applyAlignment="1">
      <alignment horizontal="left" vertical="top" wrapText="1"/>
    </xf>
    <xf numFmtId="0" fontId="0" fillId="0" borderId="0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3" fillId="0" borderId="0" xfId="0" applyFont="1">
      <alignment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6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176" fontId="10" fillId="2" borderId="1" xfId="0" applyNumberFormat="1" applyFont="1" applyFill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3" fillId="0" borderId="1" xfId="1" applyNumberFormat="1" applyFill="1" applyBorder="1" applyAlignment="1">
      <alignment horizontal="center" vertical="center"/>
    </xf>
    <xf numFmtId="0" fontId="3" fillId="0" borderId="0" xfId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>
      <alignment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6" borderId="1" xfId="0" applyFill="1" applyBorder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9" fillId="6" borderId="1" xfId="0" applyNumberFormat="1" applyFont="1" applyFill="1" applyBorder="1" applyAlignment="1">
      <alignment horizontal="center" vertical="center"/>
    </xf>
    <xf numFmtId="0" fontId="12" fillId="6" borderId="1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6" fillId="0" borderId="10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0" xfId="0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center"/>
    </xf>
    <xf numFmtId="0" fontId="0" fillId="0" borderId="19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>
      <alignment vertical="center"/>
    </xf>
    <xf numFmtId="0" fontId="0" fillId="0" borderId="9" xfId="0" applyFill="1" applyBorder="1" applyAlignment="1">
      <alignment vertical="center" wrapText="1"/>
    </xf>
    <xf numFmtId="0" fontId="3" fillId="6" borderId="1" xfId="1" applyNumberFormat="1" applyFill="1" applyBorder="1" applyAlignment="1">
      <alignment horizontal="center" vertical="center"/>
    </xf>
    <xf numFmtId="0" fontId="9" fillId="0" borderId="1" xfId="0" quotePrefix="1" applyNumberFormat="1" applyFont="1" applyFill="1" applyBorder="1" applyAlignment="1">
      <alignment horizontal="left" vertical="center"/>
    </xf>
    <xf numFmtId="0" fontId="3" fillId="0" borderId="1" xfId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9" fillId="2" borderId="1" xfId="0" applyNumberFormat="1" applyFont="1" applyFill="1" applyBorder="1" applyAlignment="1">
      <alignment horizontal="left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9" fillId="2" borderId="1" xfId="2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1" xfId="0" applyFill="1" applyBorder="1" applyAlignment="1">
      <alignment vertical="center" wrapText="1"/>
    </xf>
    <xf numFmtId="0" fontId="2" fillId="0" borderId="9" xfId="0" applyFont="1" applyFill="1" applyBorder="1" applyAlignment="1">
      <alignment horizontal="left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vertical="center" wrapText="1"/>
    </xf>
    <xf numFmtId="0" fontId="0" fillId="6" borderId="12" xfId="0" applyFill="1" applyBorder="1" applyAlignment="1">
      <alignment vertical="center" wrapText="1"/>
    </xf>
    <xf numFmtId="0" fontId="0" fillId="6" borderId="12" xfId="0" applyFill="1" applyBorder="1" applyAlignment="1">
      <alignment horizontal="center" vertical="center" wrapText="1"/>
    </xf>
    <xf numFmtId="14" fontId="10" fillId="0" borderId="4" xfId="1" applyNumberFormat="1" applyFont="1" applyBorder="1" applyAlignment="1">
      <alignment horizontal="left" vertical="center" wrapText="1"/>
    </xf>
    <xf numFmtId="14" fontId="10" fillId="0" borderId="5" xfId="1" applyNumberFormat="1" applyFont="1" applyBorder="1" applyAlignment="1">
      <alignment horizontal="left" vertical="center"/>
    </xf>
    <xf numFmtId="14" fontId="10" fillId="0" borderId="34" xfId="1" applyNumberFormat="1" applyFont="1" applyBorder="1" applyAlignment="1">
      <alignment horizontal="left" vertical="center"/>
    </xf>
    <xf numFmtId="14" fontId="10" fillId="0" borderId="5" xfId="1" applyNumberFormat="1" applyFont="1" applyBorder="1" applyAlignment="1">
      <alignment horizontal="left" vertical="center" wrapText="1"/>
    </xf>
    <xf numFmtId="14" fontId="10" fillId="0" borderId="34" xfId="1" applyNumberFormat="1" applyFont="1" applyBorder="1" applyAlignment="1">
      <alignment horizontal="left" vertical="center" wrapText="1"/>
    </xf>
    <xf numFmtId="14" fontId="10" fillId="0" borderId="4" xfId="1" applyNumberFormat="1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10" fillId="0" borderId="1" xfId="1" applyNumberFormat="1" applyFont="1" applyBorder="1" applyAlignment="1">
      <alignment horizontal="left" vertical="center"/>
    </xf>
    <xf numFmtId="0" fontId="10" fillId="0" borderId="1" xfId="0" quotePrefix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2" fillId="0" borderId="26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1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3" xfId="0" applyFont="1" applyBorder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23" xfId="0" applyFont="1" applyBorder="1">
      <alignment vertical="center"/>
    </xf>
    <xf numFmtId="0" fontId="2" fillId="0" borderId="25" xfId="0" applyFont="1" applyBorder="1">
      <alignment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23" xfId="0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6" fillId="0" borderId="20" xfId="0" applyFont="1" applyFill="1" applyBorder="1" applyAlignment="1">
      <alignment horizontal="left" vertical="top" wrapText="1"/>
    </xf>
    <xf numFmtId="0" fontId="6" fillId="0" borderId="24" xfId="0" applyFont="1" applyFill="1" applyBorder="1" applyAlignment="1">
      <alignment horizontal="left" vertical="top" wrapText="1"/>
    </xf>
    <xf numFmtId="0" fontId="6" fillId="0" borderId="18" xfId="0" applyFont="1" applyFill="1" applyBorder="1" applyAlignment="1">
      <alignment horizontal="left" vertical="top" wrapText="1"/>
    </xf>
    <xf numFmtId="0" fontId="2" fillId="4" borderId="2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" fillId="0" borderId="2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20" xfId="0" applyBorder="1" applyAlignment="1">
      <alignment horizontal="left" vertical="top"/>
    </xf>
    <xf numFmtId="0" fontId="0" fillId="0" borderId="10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9" xfId="0" applyFill="1" applyBorder="1" applyAlignment="1">
      <alignment vertical="center" wrapText="1"/>
    </xf>
  </cellXfs>
  <cellStyles count="3">
    <cellStyle name="표준" xfId="0" builtinId="0"/>
    <cellStyle name="표준 2 3 2" xfId="2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4"/>
  <sheetViews>
    <sheetView zoomScaleNormal="100" workbookViewId="0">
      <selection activeCell="E27" sqref="E27"/>
    </sheetView>
  </sheetViews>
  <sheetFormatPr defaultRowHeight="17.600000000000001"/>
  <cols>
    <col min="1" max="1" width="14.2109375" bestFit="1" customWidth="1"/>
    <col min="2" max="2" width="12.2109375" style="1" bestFit="1" customWidth="1"/>
    <col min="3" max="3" width="7.5" style="1" bestFit="1" customWidth="1"/>
    <col min="4" max="4" width="9" hidden="1" customWidth="1"/>
    <col min="5" max="5" width="70.7109375" bestFit="1" customWidth="1"/>
    <col min="6" max="6" width="7.5" bestFit="1" customWidth="1"/>
    <col min="7" max="7" width="12.140625" bestFit="1" customWidth="1"/>
    <col min="8" max="8" width="5.640625" bestFit="1" customWidth="1"/>
    <col min="9" max="15" width="9" customWidth="1"/>
  </cols>
  <sheetData>
    <row r="1" spans="1:8">
      <c r="A1" s="139" t="s">
        <v>492</v>
      </c>
      <c r="B1" s="139"/>
      <c r="C1" s="139"/>
      <c r="D1" s="139"/>
      <c r="E1" s="139"/>
      <c r="F1" s="139"/>
      <c r="G1" s="139"/>
      <c r="H1" s="139"/>
    </row>
    <row r="2" spans="1:8">
      <c r="A2" s="62" t="s">
        <v>32</v>
      </c>
      <c r="B2" s="140" t="s">
        <v>258</v>
      </c>
      <c r="C2" s="140"/>
      <c r="D2" s="140"/>
      <c r="E2" s="140"/>
      <c r="F2" s="140"/>
      <c r="G2" s="140"/>
      <c r="H2" s="140"/>
    </row>
    <row r="3" spans="1:8">
      <c r="A3" s="63" t="s">
        <v>33</v>
      </c>
      <c r="B3" s="141" t="s">
        <v>462</v>
      </c>
      <c r="C3" s="141"/>
      <c r="D3" s="141"/>
      <c r="E3" s="141"/>
      <c r="F3" s="141"/>
      <c r="G3" s="141"/>
      <c r="H3" s="141"/>
    </row>
    <row r="4" spans="1:8">
      <c r="A4" s="63" t="s">
        <v>34</v>
      </c>
      <c r="B4" s="142" t="s">
        <v>55</v>
      </c>
      <c r="C4" s="142"/>
      <c r="D4" s="142"/>
      <c r="E4" s="142"/>
      <c r="F4" s="142"/>
      <c r="G4" s="142"/>
      <c r="H4" s="142"/>
    </row>
    <row r="5" spans="1:8">
      <c r="A5" s="63" t="s">
        <v>35</v>
      </c>
      <c r="B5" s="143" t="s">
        <v>41</v>
      </c>
      <c r="C5" s="143"/>
      <c r="D5" s="143"/>
      <c r="E5" s="143"/>
      <c r="F5" s="143"/>
      <c r="G5" s="143"/>
      <c r="H5" s="143"/>
    </row>
    <row r="6" spans="1:8">
      <c r="A6" s="63" t="s">
        <v>694</v>
      </c>
      <c r="B6" s="138" t="s">
        <v>695</v>
      </c>
      <c r="C6" s="134"/>
      <c r="D6" s="134"/>
      <c r="E6" s="134"/>
      <c r="F6" s="134"/>
      <c r="G6" s="134"/>
      <c r="H6" s="135"/>
    </row>
    <row r="7" spans="1:8" ht="17.7" customHeight="1">
      <c r="A7" s="63" t="s">
        <v>690</v>
      </c>
      <c r="B7" s="133" t="s">
        <v>692</v>
      </c>
      <c r="C7" s="136"/>
      <c r="D7" s="136"/>
      <c r="E7" s="136"/>
      <c r="F7" s="136"/>
      <c r="G7" s="136"/>
      <c r="H7" s="137"/>
    </row>
    <row r="8" spans="1:8" ht="17.7" customHeight="1">
      <c r="A8" s="63" t="s">
        <v>691</v>
      </c>
      <c r="B8" s="133" t="s">
        <v>693</v>
      </c>
      <c r="C8" s="134"/>
      <c r="D8" s="134"/>
      <c r="E8" s="134"/>
      <c r="F8" s="134"/>
      <c r="G8" s="134"/>
      <c r="H8" s="135"/>
    </row>
    <row r="9" spans="1:8" ht="16.5" customHeight="1">
      <c r="A9" s="63" t="s">
        <v>47</v>
      </c>
      <c r="B9" s="144" t="s">
        <v>259</v>
      </c>
      <c r="C9" s="144"/>
      <c r="D9" s="144"/>
      <c r="E9" s="144"/>
      <c r="F9" s="144"/>
      <c r="G9" s="144"/>
      <c r="H9" s="144"/>
    </row>
    <row r="10" spans="1:8">
      <c r="A10" s="63" t="s">
        <v>272</v>
      </c>
      <c r="B10" s="144" t="s">
        <v>273</v>
      </c>
      <c r="C10" s="144"/>
      <c r="D10" s="144"/>
      <c r="E10" s="144"/>
      <c r="F10" s="144"/>
      <c r="G10" s="144"/>
      <c r="H10" s="144"/>
    </row>
    <row r="11" spans="1:8">
      <c r="A11" s="63" t="s">
        <v>29</v>
      </c>
      <c r="B11" s="141">
        <v>45910</v>
      </c>
      <c r="C11" s="141"/>
      <c r="D11" s="141"/>
      <c r="E11" s="141"/>
      <c r="F11" s="141"/>
      <c r="G11" s="141"/>
      <c r="H11" s="141"/>
    </row>
    <row r="12" spans="1:8">
      <c r="A12" s="63" t="s">
        <v>37</v>
      </c>
      <c r="B12" s="141">
        <v>45985</v>
      </c>
      <c r="C12" s="141"/>
      <c r="D12" s="141"/>
      <c r="E12" s="141"/>
      <c r="F12" s="141"/>
      <c r="G12" s="141"/>
      <c r="H12" s="141"/>
    </row>
    <row r="13" spans="1:8">
      <c r="A13" s="63" t="s">
        <v>38</v>
      </c>
      <c r="B13" s="145" t="s">
        <v>754</v>
      </c>
      <c r="C13" s="145"/>
      <c r="D13" s="145"/>
      <c r="E13" s="145"/>
      <c r="F13" s="145"/>
      <c r="G13" s="145"/>
      <c r="H13" s="145"/>
    </row>
    <row r="14" spans="1:8">
      <c r="A14" s="63" t="s">
        <v>39</v>
      </c>
      <c r="B14" s="145" t="s">
        <v>40</v>
      </c>
      <c r="C14" s="145"/>
      <c r="D14" s="145"/>
      <c r="E14" s="145"/>
      <c r="F14" s="145"/>
      <c r="G14" s="145"/>
      <c r="H14" s="145"/>
    </row>
    <row r="15" spans="1:8">
      <c r="A15" s="12"/>
      <c r="B15" s="29"/>
      <c r="C15" s="29"/>
      <c r="D15" s="12"/>
      <c r="E15" s="12"/>
      <c r="F15" s="12"/>
      <c r="G15" s="12"/>
      <c r="H15" s="12"/>
    </row>
    <row r="16" spans="1:8">
      <c r="A16" s="139" t="s">
        <v>501</v>
      </c>
      <c r="B16" s="139"/>
      <c r="C16" s="139"/>
      <c r="D16" s="139"/>
      <c r="E16" s="139"/>
      <c r="F16" s="139"/>
      <c r="G16" s="139"/>
      <c r="H16" s="139"/>
    </row>
    <row r="17" spans="1:9">
      <c r="A17" s="70" t="s">
        <v>9</v>
      </c>
      <c r="B17" s="125" t="s">
        <v>29</v>
      </c>
      <c r="C17" s="70" t="s">
        <v>28</v>
      </c>
      <c r="D17" s="70"/>
      <c r="E17" s="70" t="s">
        <v>30</v>
      </c>
      <c r="F17" s="70" t="s">
        <v>31</v>
      </c>
      <c r="G17" s="70" t="s">
        <v>264</v>
      </c>
      <c r="H17" s="70" t="s">
        <v>27</v>
      </c>
    </row>
    <row r="18" spans="1:9">
      <c r="A18" s="68" t="s">
        <v>26</v>
      </c>
      <c r="B18" s="21">
        <v>45910</v>
      </c>
      <c r="C18" s="14" t="s">
        <v>25</v>
      </c>
      <c r="D18" s="14"/>
      <c r="E18" s="51" t="s">
        <v>274</v>
      </c>
      <c r="F18" s="21"/>
      <c r="G18" s="21"/>
      <c r="H18" s="14"/>
    </row>
    <row r="19" spans="1:9">
      <c r="A19" s="57" t="s">
        <v>329</v>
      </c>
      <c r="B19" s="48">
        <v>45912</v>
      </c>
      <c r="C19" s="58" t="s">
        <v>330</v>
      </c>
      <c r="D19" s="58"/>
      <c r="E19" s="52" t="s">
        <v>331</v>
      </c>
      <c r="F19" s="21"/>
      <c r="G19" s="21"/>
      <c r="H19" s="14"/>
    </row>
    <row r="20" spans="1:9">
      <c r="A20" s="57" t="s">
        <v>403</v>
      </c>
      <c r="B20" s="48">
        <v>45915</v>
      </c>
      <c r="C20" s="58" t="s">
        <v>380</v>
      </c>
      <c r="D20" s="58"/>
      <c r="E20" s="50" t="s">
        <v>401</v>
      </c>
      <c r="F20" s="48"/>
      <c r="G20" s="48"/>
      <c r="H20" s="58"/>
    </row>
    <row r="21" spans="1:9">
      <c r="A21" s="57" t="s">
        <v>400</v>
      </c>
      <c r="B21" s="48">
        <v>45916</v>
      </c>
      <c r="C21" s="58" t="s">
        <v>380</v>
      </c>
      <c r="D21" s="58"/>
      <c r="E21" s="50" t="s">
        <v>402</v>
      </c>
      <c r="F21" s="48"/>
      <c r="G21" s="48"/>
      <c r="H21" s="58"/>
    </row>
    <row r="22" spans="1:9">
      <c r="A22" s="57" t="s">
        <v>545</v>
      </c>
      <c r="B22" s="48">
        <v>45918</v>
      </c>
      <c r="C22" s="58" t="s">
        <v>380</v>
      </c>
      <c r="D22" s="58"/>
      <c r="E22" s="50" t="s">
        <v>686</v>
      </c>
      <c r="F22" s="48"/>
      <c r="G22" s="48"/>
      <c r="H22" s="58"/>
    </row>
    <row r="23" spans="1:9" s="71" customFormat="1">
      <c r="A23" s="57" t="s">
        <v>546</v>
      </c>
      <c r="B23" s="48">
        <v>45925</v>
      </c>
      <c r="C23" s="58" t="s">
        <v>547</v>
      </c>
      <c r="D23" s="58"/>
      <c r="E23" s="50" t="s">
        <v>687</v>
      </c>
      <c r="F23" s="48"/>
      <c r="G23" s="48"/>
      <c r="H23" s="58"/>
    </row>
    <row r="24" spans="1:9">
      <c r="A24" s="57" t="s">
        <v>577</v>
      </c>
      <c r="B24" s="48">
        <v>45925</v>
      </c>
      <c r="C24" s="124" t="s">
        <v>576</v>
      </c>
      <c r="D24" s="39"/>
      <c r="E24" s="50" t="s">
        <v>575</v>
      </c>
      <c r="F24" s="39"/>
      <c r="G24" s="39"/>
      <c r="H24" s="39"/>
      <c r="I24" s="71"/>
    </row>
    <row r="25" spans="1:9">
      <c r="A25" s="57" t="s">
        <v>688</v>
      </c>
      <c r="B25" s="48">
        <v>45947</v>
      </c>
      <c r="C25" s="124" t="s">
        <v>330</v>
      </c>
      <c r="D25" s="39"/>
      <c r="E25" s="50" t="s">
        <v>689</v>
      </c>
      <c r="F25" s="39"/>
      <c r="G25" s="39"/>
      <c r="H25" s="39"/>
      <c r="I25" s="71"/>
    </row>
    <row r="26" spans="1:9" s="71" customFormat="1">
      <c r="A26" s="57" t="s">
        <v>752</v>
      </c>
      <c r="B26" s="129">
        <v>45954</v>
      </c>
      <c r="C26" s="124" t="s">
        <v>751</v>
      </c>
      <c r="D26" s="39"/>
      <c r="E26" s="50" t="s">
        <v>750</v>
      </c>
      <c r="F26" s="39"/>
      <c r="G26" s="39"/>
      <c r="H26" s="39"/>
    </row>
    <row r="27" spans="1:9">
      <c r="A27" s="59" t="s">
        <v>754</v>
      </c>
      <c r="B27" s="128">
        <v>45985</v>
      </c>
      <c r="C27" s="88" t="s">
        <v>330</v>
      </c>
      <c r="D27" s="78"/>
      <c r="E27" s="49" t="s">
        <v>774</v>
      </c>
      <c r="F27" s="78"/>
      <c r="G27" s="78"/>
      <c r="H27" s="78"/>
    </row>
    <row r="34" spans="5:5">
      <c r="E34" s="93"/>
    </row>
  </sheetData>
  <mergeCells count="15">
    <mergeCell ref="B9:H9"/>
    <mergeCell ref="B10:H10"/>
    <mergeCell ref="B14:H14"/>
    <mergeCell ref="A16:H16"/>
    <mergeCell ref="B11:H11"/>
    <mergeCell ref="B12:H12"/>
    <mergeCell ref="B13:H13"/>
    <mergeCell ref="B8:H8"/>
    <mergeCell ref="B7:H7"/>
    <mergeCell ref="B6:H6"/>
    <mergeCell ref="A1:H1"/>
    <mergeCell ref="B2:H2"/>
    <mergeCell ref="B3:H3"/>
    <mergeCell ref="B4:H4"/>
    <mergeCell ref="B5:H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</sheetPr>
  <dimension ref="A1:I18"/>
  <sheetViews>
    <sheetView zoomScaleNormal="100" workbookViewId="0">
      <pane ySplit="2" topLeftCell="A7" activePane="bottomLeft" state="frozen"/>
      <selection pane="bottomLeft" activeCell="E27" sqref="E27"/>
    </sheetView>
  </sheetViews>
  <sheetFormatPr defaultRowHeight="17.600000000000001"/>
  <cols>
    <col min="1" max="1" width="4.640625" style="1" bestFit="1" customWidth="1"/>
    <col min="2" max="2" width="14" style="1" customWidth="1"/>
    <col min="3" max="3" width="27.7109375" bestFit="1" customWidth="1"/>
    <col min="4" max="4" width="0" hidden="1" customWidth="1"/>
    <col min="5" max="5" width="82" bestFit="1" customWidth="1"/>
    <col min="6" max="6" width="8.7109375" bestFit="1" customWidth="1"/>
    <col min="7" max="7" width="48.140625" bestFit="1" customWidth="1"/>
    <col min="8" max="8" width="7.5" bestFit="1" customWidth="1"/>
    <col min="9" max="9" width="41.5" customWidth="1"/>
  </cols>
  <sheetData>
    <row r="1" spans="1:9">
      <c r="A1" s="146" t="s">
        <v>382</v>
      </c>
      <c r="B1" s="146"/>
      <c r="C1" s="146"/>
      <c r="D1" s="146"/>
      <c r="E1" s="146"/>
      <c r="F1" s="146"/>
      <c r="G1" s="146"/>
      <c r="H1" s="146"/>
      <c r="I1" s="146"/>
    </row>
    <row r="2" spans="1:9">
      <c r="A2" s="122" t="s">
        <v>42</v>
      </c>
      <c r="B2" s="122" t="s">
        <v>255</v>
      </c>
      <c r="C2" s="122" t="s">
        <v>43</v>
      </c>
      <c r="D2" s="122"/>
      <c r="E2" s="122" t="s">
        <v>44</v>
      </c>
      <c r="F2" s="122" t="s">
        <v>49</v>
      </c>
      <c r="G2" s="122" t="s">
        <v>260</v>
      </c>
      <c r="H2" s="122" t="s">
        <v>45</v>
      </c>
      <c r="I2" s="122" t="s">
        <v>27</v>
      </c>
    </row>
    <row r="3" spans="1:9" hidden="1">
      <c r="A3" s="64">
        <v>1</v>
      </c>
      <c r="B3" s="66" t="str">
        <f>HYPERLINK("#'3. API Reference'!C"&amp;MATCH("*API-LLM-001*",'3. API Reference'!C:C,0),"API-LLM-001")</f>
        <v>API-LLM-001</v>
      </c>
      <c r="C3" s="65" t="s">
        <v>392</v>
      </c>
      <c r="D3" s="38"/>
      <c r="E3" s="39" t="s">
        <v>327</v>
      </c>
      <c r="F3" s="38" t="s">
        <v>46</v>
      </c>
      <c r="G3" s="50" t="s">
        <v>328</v>
      </c>
      <c r="H3" s="64" t="s">
        <v>671</v>
      </c>
      <c r="I3" s="53" t="s">
        <v>584</v>
      </c>
    </row>
    <row r="4" spans="1:9" hidden="1">
      <c r="A4" s="64">
        <v>2</v>
      </c>
      <c r="B4" s="66" t="str">
        <f>HYPERLINK("#'3. API Reference'!C"&amp;MATCH("*API-EMB-001*",'3. API Reference'!C:C,0),"API-EMB-001")</f>
        <v>API-EMB-001</v>
      </c>
      <c r="C4" s="65" t="s">
        <v>391</v>
      </c>
      <c r="D4" s="38"/>
      <c r="E4" s="39" t="s">
        <v>389</v>
      </c>
      <c r="F4" s="38" t="s">
        <v>337</v>
      </c>
      <c r="G4" s="50" t="s">
        <v>388</v>
      </c>
      <c r="H4" s="64" t="s">
        <v>672</v>
      </c>
      <c r="I4" s="53" t="s">
        <v>548</v>
      </c>
    </row>
    <row r="5" spans="1:9" hidden="1">
      <c r="A5" s="64">
        <v>3</v>
      </c>
      <c r="B5" s="66" t="s">
        <v>737</v>
      </c>
      <c r="C5" s="65"/>
      <c r="D5" s="38"/>
      <c r="E5" s="39"/>
      <c r="F5" s="38"/>
      <c r="G5" s="50"/>
      <c r="H5" s="64"/>
      <c r="I5" s="53"/>
    </row>
    <row r="6" spans="1:9" hidden="1">
      <c r="A6" s="64">
        <v>4</v>
      </c>
      <c r="B6" s="117" t="str">
        <f>HYPERLINK("#'3. API Reference'!C"&amp;MATCH("*API-AGT-001*",'3. API Reference'!C:C,0),"API-AGT-001")</f>
        <v>API-AGT-001</v>
      </c>
      <c r="C6" s="121" t="s">
        <v>466</v>
      </c>
      <c r="D6" s="119"/>
      <c r="E6" s="123" t="s">
        <v>673</v>
      </c>
      <c r="F6" s="119" t="s">
        <v>46</v>
      </c>
      <c r="G6" s="121" t="s">
        <v>675</v>
      </c>
      <c r="H6" s="116"/>
      <c r="I6" s="120"/>
    </row>
    <row r="7" spans="1:9">
      <c r="A7" s="64">
        <v>5</v>
      </c>
      <c r="B7" s="106" t="str">
        <f>HYPERLINK("#'3. API Reference'!C"&amp;MATCH("*API-RPT-001*",'3. API Reference'!C:C,0),"API-RPT-001")</f>
        <v>API-RPT-001</v>
      </c>
      <c r="C7" s="89" t="s">
        <v>660</v>
      </c>
      <c r="D7" s="90"/>
      <c r="E7" s="78" t="s">
        <v>662</v>
      </c>
      <c r="F7" s="90" t="s">
        <v>46</v>
      </c>
      <c r="G7" s="49" t="s">
        <v>653</v>
      </c>
      <c r="H7" s="91" t="s">
        <v>672</v>
      </c>
      <c r="I7" s="89"/>
    </row>
    <row r="8" spans="1:9">
      <c r="A8" s="64">
        <v>6</v>
      </c>
      <c r="B8" s="106" t="str">
        <f>HYPERLINK("#'3. API Reference'!C"&amp;MATCH("*API-RPT-002*",'3. API Reference'!C:C,0),"API-RPT-002")</f>
        <v>API-RPT-002</v>
      </c>
      <c r="C8" s="89" t="s">
        <v>663</v>
      </c>
      <c r="D8" s="90"/>
      <c r="E8" s="78" t="s">
        <v>669</v>
      </c>
      <c r="F8" s="90" t="s">
        <v>383</v>
      </c>
      <c r="G8" s="49" t="s">
        <v>654</v>
      </c>
      <c r="H8" s="91" t="s">
        <v>672</v>
      </c>
      <c r="I8" s="89"/>
    </row>
    <row r="9" spans="1:9" hidden="1">
      <c r="A9" s="64">
        <v>7</v>
      </c>
      <c r="B9" s="117" t="str">
        <f>HYPERLINK("#'3. API Reference'!C"&amp;MATCH("*API-RPT-003*",'3. API Reference'!C:C,0),"API-RPT-003")</f>
        <v>API-RPT-003</v>
      </c>
      <c r="C9" s="118" t="s">
        <v>652</v>
      </c>
      <c r="D9" s="119"/>
      <c r="E9" s="120" t="s">
        <v>668</v>
      </c>
      <c r="F9" s="119" t="s">
        <v>46</v>
      </c>
      <c r="G9" s="121" t="s">
        <v>656</v>
      </c>
      <c r="H9" s="116"/>
      <c r="I9" s="118"/>
    </row>
    <row r="10" spans="1:9" hidden="1">
      <c r="A10" s="64">
        <v>8</v>
      </c>
      <c r="B10" s="117" t="str">
        <f>HYPERLINK("#'3. API Reference'!C"&amp;MATCH("*API-RPT-004*",'3. API Reference'!C:C,0),"API-RPT-004")</f>
        <v>API-RPT-004</v>
      </c>
      <c r="C10" s="118" t="s">
        <v>645</v>
      </c>
      <c r="D10" s="119"/>
      <c r="E10" s="120" t="s">
        <v>647</v>
      </c>
      <c r="F10" s="119" t="s">
        <v>541</v>
      </c>
      <c r="G10" s="121" t="s">
        <v>657</v>
      </c>
      <c r="H10" s="116"/>
      <c r="I10" s="118"/>
    </row>
    <row r="11" spans="1:9" hidden="1">
      <c r="A11" s="64">
        <v>9</v>
      </c>
      <c r="B11" s="117" t="str">
        <f>HYPERLINK("#'3. API Reference'!C"&amp;MATCH("*API-RPT-005*",'3. API Reference'!C:C,0),"API-RPT-005")</f>
        <v>API-RPT-005</v>
      </c>
      <c r="C11" s="118" t="s">
        <v>646</v>
      </c>
      <c r="D11" s="119"/>
      <c r="E11" s="120" t="s">
        <v>648</v>
      </c>
      <c r="F11" s="119" t="s">
        <v>541</v>
      </c>
      <c r="G11" s="121" t="s">
        <v>649</v>
      </c>
      <c r="H11" s="116"/>
      <c r="I11" s="118"/>
    </row>
    <row r="12" spans="1:9" hidden="1">
      <c r="A12" s="64">
        <v>10</v>
      </c>
      <c r="B12" s="66" t="str">
        <f>HYPERLINK("#'3. API Reference'!C"&amp;MATCH("*API-CHT-001*",'3. API Reference'!C:C,0),"API-CHT-001")</f>
        <v>API-CHT-001</v>
      </c>
      <c r="C12" s="65" t="s">
        <v>460</v>
      </c>
      <c r="D12" s="38"/>
      <c r="E12" s="39" t="s">
        <v>528</v>
      </c>
      <c r="F12" s="38" t="s">
        <v>46</v>
      </c>
      <c r="G12" s="107" t="s">
        <v>526</v>
      </c>
      <c r="H12" s="64" t="s">
        <v>672</v>
      </c>
      <c r="I12" s="65"/>
    </row>
    <row r="13" spans="1:9" hidden="1">
      <c r="A13" s="64">
        <v>11</v>
      </c>
      <c r="B13" s="66" t="str">
        <f>HYPERLINK("#'3. API Reference'!C"&amp;MATCH("*API-CHT-002*",'3. API Reference'!C:C,0),"API-CHT-002")</f>
        <v>API-CHT-002</v>
      </c>
      <c r="C13" s="65" t="s">
        <v>529</v>
      </c>
      <c r="D13" s="38"/>
      <c r="E13" s="39" t="s">
        <v>685</v>
      </c>
      <c r="F13" s="38" t="s">
        <v>46</v>
      </c>
      <c r="G13" s="107" t="s">
        <v>527</v>
      </c>
      <c r="H13" s="64" t="s">
        <v>672</v>
      </c>
      <c r="I13" s="39"/>
    </row>
    <row r="14" spans="1:9" hidden="1">
      <c r="A14" s="64">
        <v>12</v>
      </c>
      <c r="B14" s="108" t="str">
        <f>HYPERLINK("#'3. API Reference'!C"&amp;MATCH("*API-CHT-003*",'3. API Reference'!C:C,0),"API-CHT-003")</f>
        <v>API-CHT-003</v>
      </c>
      <c r="C14" s="65" t="s">
        <v>543</v>
      </c>
      <c r="D14" s="39"/>
      <c r="E14" s="39" t="s">
        <v>542</v>
      </c>
      <c r="F14" s="38" t="s">
        <v>541</v>
      </c>
      <c r="G14" s="39" t="s">
        <v>540</v>
      </c>
      <c r="H14" s="64" t="s">
        <v>672</v>
      </c>
      <c r="I14" s="39"/>
    </row>
    <row r="15" spans="1:9" hidden="1">
      <c r="A15" s="64">
        <v>13</v>
      </c>
      <c r="B15" s="108" t="str">
        <f>HYPERLINK("#'3. API Reference'!C"&amp;MATCH("*API-CHT-004*",'3. API Reference'!C:C,0),"API-CHT-004")</f>
        <v>API-CHT-004</v>
      </c>
      <c r="C15" s="65" t="s">
        <v>552</v>
      </c>
      <c r="D15" s="39"/>
      <c r="E15" s="39" t="s">
        <v>553</v>
      </c>
      <c r="F15" s="38" t="s">
        <v>541</v>
      </c>
      <c r="G15" s="39" t="s">
        <v>550</v>
      </c>
      <c r="H15" s="64" t="s">
        <v>672</v>
      </c>
      <c r="I15" s="39"/>
    </row>
    <row r="16" spans="1:9">
      <c r="C16" s="67"/>
    </row>
    <row r="18" spans="3:3">
      <c r="C18" s="67"/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A1:V303"/>
  <sheetViews>
    <sheetView tabSelected="1" topLeftCell="A76" zoomScale="70" zoomScaleNormal="70" workbookViewId="0">
      <selection activeCell="G82" sqref="G82:G104"/>
    </sheetView>
  </sheetViews>
  <sheetFormatPr defaultRowHeight="17.600000000000001"/>
  <cols>
    <col min="2" max="2" width="27.7109375" style="47" bestFit="1" customWidth="1"/>
    <col min="3" max="3" width="15.5" style="1" bestFit="1" customWidth="1"/>
    <col min="4" max="4" width="11.5" style="1" bestFit="1" customWidth="1"/>
    <col min="5" max="5" width="5.640625" style="1" bestFit="1" customWidth="1"/>
    <col min="6" max="6" width="62.35546875" style="47" customWidth="1"/>
    <col min="7" max="7" width="108.7109375" style="37" customWidth="1"/>
  </cols>
  <sheetData>
    <row r="1" spans="1:7" ht="18" hidden="1" thickBot="1">
      <c r="A1" s="32"/>
      <c r="B1" s="41"/>
      <c r="C1" s="33"/>
      <c r="D1" s="33"/>
      <c r="E1" s="33"/>
      <c r="F1" s="41"/>
      <c r="G1" s="35"/>
    </row>
    <row r="2" spans="1:7" ht="16.5" hidden="1" customHeight="1">
      <c r="A2" s="32"/>
      <c r="B2" s="79" t="s">
        <v>256</v>
      </c>
      <c r="C2" s="203" t="s">
        <v>333</v>
      </c>
      <c r="D2" s="204"/>
      <c r="E2" s="204"/>
      <c r="F2" s="204"/>
      <c r="G2" s="205"/>
    </row>
    <row r="3" spans="1:7" hidden="1">
      <c r="A3" s="32"/>
      <c r="B3" s="80" t="s">
        <v>44</v>
      </c>
      <c r="C3" s="197" t="s">
        <v>334</v>
      </c>
      <c r="D3" s="197"/>
      <c r="E3" s="197"/>
      <c r="F3" s="197"/>
      <c r="G3" s="198"/>
    </row>
    <row r="4" spans="1:7" ht="18" hidden="1" thickBot="1">
      <c r="A4" s="32"/>
      <c r="B4" s="81" t="s">
        <v>52</v>
      </c>
      <c r="C4" s="206" t="s">
        <v>753</v>
      </c>
      <c r="D4" s="206"/>
      <c r="E4" s="206"/>
      <c r="F4" s="206"/>
      <c r="G4" s="206"/>
    </row>
    <row r="5" spans="1:7" hidden="1">
      <c r="A5" s="32"/>
      <c r="B5" s="161" t="s">
        <v>0</v>
      </c>
      <c r="C5" s="162"/>
      <c r="D5" s="162"/>
      <c r="E5" s="162"/>
      <c r="F5" s="162"/>
      <c r="G5" s="163"/>
    </row>
    <row r="6" spans="1:7" hidden="1">
      <c r="A6" s="32"/>
      <c r="B6" s="17" t="s">
        <v>2</v>
      </c>
      <c r="C6" s="4" t="s">
        <v>3</v>
      </c>
      <c r="D6" s="4" t="s">
        <v>4</v>
      </c>
      <c r="E6" s="4" t="s">
        <v>20</v>
      </c>
      <c r="F6" s="4" t="s">
        <v>5</v>
      </c>
      <c r="G6" s="18" t="s">
        <v>6</v>
      </c>
    </row>
    <row r="7" spans="1:7" hidden="1">
      <c r="A7" s="32"/>
      <c r="B7" s="82" t="s">
        <v>276</v>
      </c>
      <c r="C7" s="23" t="s">
        <v>277</v>
      </c>
      <c r="D7" s="24" t="s">
        <v>17</v>
      </c>
      <c r="E7" s="24" t="s">
        <v>15</v>
      </c>
      <c r="F7" s="42" t="s">
        <v>398</v>
      </c>
      <c r="G7" s="190" t="s">
        <v>399</v>
      </c>
    </row>
    <row r="8" spans="1:7" hidden="1">
      <c r="A8" s="32"/>
      <c r="B8" s="82" t="s">
        <v>278</v>
      </c>
      <c r="C8" s="23" t="s">
        <v>279</v>
      </c>
      <c r="D8" s="24" t="s">
        <v>14</v>
      </c>
      <c r="E8" s="24" t="s">
        <v>15</v>
      </c>
      <c r="F8" s="42" t="s">
        <v>280</v>
      </c>
      <c r="G8" s="191"/>
    </row>
    <row r="9" spans="1:7" hidden="1">
      <c r="A9" s="32"/>
      <c r="B9" s="82" t="s">
        <v>281</v>
      </c>
      <c r="C9" s="23" t="s">
        <v>282</v>
      </c>
      <c r="D9" s="24" t="s">
        <v>17</v>
      </c>
      <c r="E9" s="24" t="s">
        <v>15</v>
      </c>
      <c r="F9" s="42" t="s">
        <v>283</v>
      </c>
      <c r="G9" s="191"/>
    </row>
    <row r="10" spans="1:7" hidden="1">
      <c r="A10" s="32"/>
      <c r="B10" s="82" t="s">
        <v>284</v>
      </c>
      <c r="C10" s="23" t="s">
        <v>285</v>
      </c>
      <c r="D10" s="24" t="s">
        <v>17</v>
      </c>
      <c r="E10" s="24" t="s">
        <v>15</v>
      </c>
      <c r="F10" s="42" t="s">
        <v>286</v>
      </c>
      <c r="G10" s="191"/>
    </row>
    <row r="11" spans="1:7" hidden="1">
      <c r="A11" s="32"/>
      <c r="B11" s="82" t="s">
        <v>287</v>
      </c>
      <c r="C11" s="23" t="s">
        <v>288</v>
      </c>
      <c r="D11" s="24" t="s">
        <v>136</v>
      </c>
      <c r="E11" s="24" t="s">
        <v>67</v>
      </c>
      <c r="F11" s="42" t="s">
        <v>336</v>
      </c>
      <c r="G11" s="191"/>
    </row>
    <row r="12" spans="1:7" hidden="1">
      <c r="A12" s="32"/>
      <c r="B12" s="82" t="s">
        <v>289</v>
      </c>
      <c r="C12" s="23" t="s">
        <v>290</v>
      </c>
      <c r="D12" s="24" t="s">
        <v>141</v>
      </c>
      <c r="E12" s="24" t="s">
        <v>67</v>
      </c>
      <c r="F12" s="42" t="s">
        <v>291</v>
      </c>
      <c r="G12" s="191"/>
    </row>
    <row r="13" spans="1:7" ht="18" hidden="1" thickBot="1">
      <c r="A13" s="32"/>
      <c r="B13" s="83" t="s">
        <v>292</v>
      </c>
      <c r="C13" s="25" t="s">
        <v>293</v>
      </c>
      <c r="D13" s="26" t="s">
        <v>159</v>
      </c>
      <c r="E13" s="26" t="s">
        <v>67</v>
      </c>
      <c r="F13" s="43" t="s">
        <v>294</v>
      </c>
      <c r="G13" s="192"/>
    </row>
    <row r="14" spans="1:7" hidden="1">
      <c r="A14" s="32"/>
      <c r="B14" s="147" t="s">
        <v>1</v>
      </c>
      <c r="C14" s="148"/>
      <c r="D14" s="148"/>
      <c r="E14" s="148"/>
      <c r="F14" s="148"/>
      <c r="G14" s="149"/>
    </row>
    <row r="15" spans="1:7" hidden="1">
      <c r="A15" s="32"/>
      <c r="B15" s="19" t="s">
        <v>2</v>
      </c>
      <c r="C15" s="5" t="s">
        <v>3</v>
      </c>
      <c r="D15" s="5" t="s">
        <v>4</v>
      </c>
      <c r="E15" s="5" t="s">
        <v>20</v>
      </c>
      <c r="F15" s="5" t="s">
        <v>22</v>
      </c>
      <c r="G15" s="20" t="s">
        <v>7</v>
      </c>
    </row>
    <row r="16" spans="1:7" hidden="1">
      <c r="A16" s="32"/>
      <c r="B16" s="82" t="s">
        <v>295</v>
      </c>
      <c r="C16" s="23" t="s">
        <v>296</v>
      </c>
      <c r="D16" s="24" t="s">
        <v>17</v>
      </c>
      <c r="E16" s="24" t="s">
        <v>394</v>
      </c>
      <c r="F16" s="42" t="s">
        <v>297</v>
      </c>
      <c r="G16" s="199" t="s">
        <v>386</v>
      </c>
    </row>
    <row r="17" spans="1:7" hidden="1">
      <c r="A17" s="32"/>
      <c r="B17" s="82" t="s">
        <v>298</v>
      </c>
      <c r="C17" s="23" t="s">
        <v>299</v>
      </c>
      <c r="D17" s="24" t="s">
        <v>17</v>
      </c>
      <c r="E17" s="24" t="s">
        <v>394</v>
      </c>
      <c r="F17" s="42" t="s">
        <v>332</v>
      </c>
      <c r="G17" s="201"/>
    </row>
    <row r="18" spans="1:7" hidden="1">
      <c r="A18" s="32"/>
      <c r="B18" s="82" t="s">
        <v>300</v>
      </c>
      <c r="C18" s="23" t="s">
        <v>140</v>
      </c>
      <c r="D18" s="24" t="s">
        <v>136</v>
      </c>
      <c r="E18" s="24" t="s">
        <v>394</v>
      </c>
      <c r="F18" s="42" t="s">
        <v>301</v>
      </c>
      <c r="G18" s="201"/>
    </row>
    <row r="19" spans="1:7" hidden="1">
      <c r="A19" s="32"/>
      <c r="B19" s="82" t="s">
        <v>491</v>
      </c>
      <c r="C19" s="23" t="s">
        <v>277</v>
      </c>
      <c r="D19" s="24" t="s">
        <v>17</v>
      </c>
      <c r="E19" s="24" t="s">
        <v>394</v>
      </c>
      <c r="F19" s="42" t="s">
        <v>302</v>
      </c>
      <c r="G19" s="201"/>
    </row>
    <row r="20" spans="1:7" hidden="1">
      <c r="A20" s="32"/>
      <c r="B20" s="82" t="s">
        <v>303</v>
      </c>
      <c r="C20" s="23" t="s">
        <v>304</v>
      </c>
      <c r="D20" s="24" t="s">
        <v>14</v>
      </c>
      <c r="E20" s="24" t="s">
        <v>394</v>
      </c>
      <c r="F20" s="42" t="s">
        <v>305</v>
      </c>
      <c r="G20" s="201"/>
    </row>
    <row r="21" spans="1:7" hidden="1">
      <c r="A21" s="32"/>
      <c r="B21" s="82" t="s">
        <v>306</v>
      </c>
      <c r="C21" s="23" t="s">
        <v>307</v>
      </c>
      <c r="D21" s="24" t="s">
        <v>136</v>
      </c>
      <c r="E21" s="24" t="s">
        <v>394</v>
      </c>
      <c r="F21" s="42" t="s">
        <v>308</v>
      </c>
      <c r="G21" s="201"/>
    </row>
    <row r="22" spans="1:7" hidden="1">
      <c r="A22" s="32"/>
      <c r="B22" s="82" t="s">
        <v>309</v>
      </c>
      <c r="C22" s="23" t="s">
        <v>279</v>
      </c>
      <c r="D22" s="24" t="s">
        <v>60</v>
      </c>
      <c r="E22" s="24" t="s">
        <v>394</v>
      </c>
      <c r="F22" s="42" t="s">
        <v>310</v>
      </c>
      <c r="G22" s="201"/>
    </row>
    <row r="23" spans="1:7" hidden="1">
      <c r="A23" s="32"/>
      <c r="B23" s="82" t="s">
        <v>585</v>
      </c>
      <c r="C23" s="23" t="s">
        <v>282</v>
      </c>
      <c r="D23" s="24" t="s">
        <v>17</v>
      </c>
      <c r="E23" s="24" t="s">
        <v>394</v>
      </c>
      <c r="F23" s="42" t="s">
        <v>311</v>
      </c>
      <c r="G23" s="201"/>
    </row>
    <row r="24" spans="1:7" hidden="1">
      <c r="A24" s="32"/>
      <c r="B24" s="82" t="s">
        <v>437</v>
      </c>
      <c r="C24" s="23" t="s">
        <v>285</v>
      </c>
      <c r="D24" s="24" t="s">
        <v>17</v>
      </c>
      <c r="E24" s="24" t="s">
        <v>394</v>
      </c>
      <c r="F24" s="42" t="s">
        <v>312</v>
      </c>
      <c r="G24" s="201"/>
    </row>
    <row r="25" spans="1:7" hidden="1">
      <c r="A25" s="32"/>
      <c r="B25" s="82" t="s">
        <v>438</v>
      </c>
      <c r="C25" s="23" t="s">
        <v>313</v>
      </c>
      <c r="D25" s="24" t="s">
        <v>17</v>
      </c>
      <c r="E25" s="24" t="s">
        <v>397</v>
      </c>
      <c r="F25" s="42" t="s">
        <v>314</v>
      </c>
      <c r="G25" s="201"/>
    </row>
    <row r="26" spans="1:7" hidden="1">
      <c r="A26" s="32"/>
      <c r="B26" s="82" t="s">
        <v>315</v>
      </c>
      <c r="C26" s="23" t="s">
        <v>316</v>
      </c>
      <c r="D26" s="24" t="s">
        <v>60</v>
      </c>
      <c r="E26" s="24" t="s">
        <v>397</v>
      </c>
      <c r="F26" s="42" t="s">
        <v>317</v>
      </c>
      <c r="G26" s="201"/>
    </row>
    <row r="27" spans="1:7" hidden="1">
      <c r="A27" s="32"/>
      <c r="B27" s="82" t="s">
        <v>318</v>
      </c>
      <c r="C27" s="23" t="s">
        <v>319</v>
      </c>
      <c r="D27" s="24" t="s">
        <v>136</v>
      </c>
      <c r="E27" s="24" t="s">
        <v>397</v>
      </c>
      <c r="F27" s="42" t="s">
        <v>320</v>
      </c>
      <c r="G27" s="201"/>
    </row>
    <row r="28" spans="1:7" hidden="1">
      <c r="A28" s="32"/>
      <c r="B28" s="82" t="s">
        <v>321</v>
      </c>
      <c r="C28" s="23" t="s">
        <v>322</v>
      </c>
      <c r="D28" s="24" t="s">
        <v>136</v>
      </c>
      <c r="E28" s="24" t="s">
        <v>397</v>
      </c>
      <c r="F28" s="42" t="s">
        <v>323</v>
      </c>
      <c r="G28" s="201"/>
    </row>
    <row r="29" spans="1:7" ht="18" hidden="1" thickBot="1">
      <c r="A29" s="32"/>
      <c r="B29" s="84" t="s">
        <v>439</v>
      </c>
      <c r="C29" s="56" t="s">
        <v>324</v>
      </c>
      <c r="D29" s="30" t="s">
        <v>136</v>
      </c>
      <c r="E29" s="30" t="s">
        <v>397</v>
      </c>
      <c r="F29" s="46" t="s">
        <v>325</v>
      </c>
      <c r="G29" s="207"/>
    </row>
    <row r="30" spans="1:7" hidden="1">
      <c r="A30" s="32"/>
      <c r="B30" s="147" t="s">
        <v>335</v>
      </c>
      <c r="C30" s="148"/>
      <c r="D30" s="148"/>
      <c r="E30" s="148"/>
      <c r="F30" s="148"/>
      <c r="G30" s="149"/>
    </row>
    <row r="31" spans="1:7" hidden="1">
      <c r="A31" s="32"/>
      <c r="B31" s="19" t="s">
        <v>2</v>
      </c>
      <c r="C31" s="5" t="s">
        <v>3</v>
      </c>
      <c r="D31" s="5" t="s">
        <v>4</v>
      </c>
      <c r="E31" s="5" t="s">
        <v>20</v>
      </c>
      <c r="F31" s="5" t="s">
        <v>22</v>
      </c>
      <c r="G31" s="20" t="s">
        <v>7</v>
      </c>
    </row>
    <row r="32" spans="1:7" ht="16.5" hidden="1" customHeight="1">
      <c r="A32" s="32"/>
      <c r="B32" s="82" t="s">
        <v>13</v>
      </c>
      <c r="C32" s="23" t="s">
        <v>56</v>
      </c>
      <c r="D32" s="24" t="s">
        <v>17</v>
      </c>
      <c r="E32" s="24" t="s">
        <v>394</v>
      </c>
      <c r="F32" s="42" t="s">
        <v>385</v>
      </c>
      <c r="G32" s="190" t="s">
        <v>486</v>
      </c>
    </row>
    <row r="33" spans="1:11" ht="16.5" hidden="1" customHeight="1">
      <c r="A33" s="32"/>
      <c r="B33" s="85" t="s">
        <v>588</v>
      </c>
      <c r="C33" s="23"/>
      <c r="D33" s="24"/>
      <c r="E33" s="24"/>
      <c r="F33" s="42"/>
      <c r="G33" s="191"/>
    </row>
    <row r="34" spans="1:11" ht="16.5" hidden="1" customHeight="1">
      <c r="A34" s="32"/>
      <c r="B34" s="82" t="s">
        <v>440</v>
      </c>
      <c r="C34" s="23" t="s">
        <v>473</v>
      </c>
      <c r="D34" s="24" t="s">
        <v>17</v>
      </c>
      <c r="E34" s="24" t="s">
        <v>15</v>
      </c>
      <c r="F34" s="23" t="s">
        <v>417</v>
      </c>
      <c r="G34" s="191"/>
      <c r="H34" s="8"/>
      <c r="I34" s="8"/>
      <c r="J34" s="8"/>
      <c r="K34" s="8"/>
    </row>
    <row r="35" spans="1:11" ht="16.5" hidden="1" customHeight="1">
      <c r="A35" s="32"/>
      <c r="B35" s="82" t="s">
        <v>474</v>
      </c>
      <c r="C35" s="23" t="s">
        <v>475</v>
      </c>
      <c r="D35" s="24" t="s">
        <v>14</v>
      </c>
      <c r="E35" s="24" t="s">
        <v>15</v>
      </c>
      <c r="F35" s="23" t="s">
        <v>476</v>
      </c>
      <c r="G35" s="191"/>
      <c r="H35" s="8"/>
      <c r="I35" s="8"/>
      <c r="J35" s="8"/>
      <c r="K35" s="8"/>
    </row>
    <row r="36" spans="1:11" ht="16.5" hidden="1" customHeight="1">
      <c r="A36" s="32"/>
      <c r="B36" s="82" t="s">
        <v>477</v>
      </c>
      <c r="C36" s="23" t="s">
        <v>478</v>
      </c>
      <c r="D36" s="24" t="s">
        <v>60</v>
      </c>
      <c r="E36" s="24" t="s">
        <v>15</v>
      </c>
      <c r="F36" s="23" t="s">
        <v>479</v>
      </c>
      <c r="G36" s="191"/>
      <c r="H36" s="8"/>
      <c r="I36" s="8"/>
      <c r="J36" s="8"/>
      <c r="K36" s="8"/>
    </row>
    <row r="37" spans="1:11" ht="16.5" hidden="1" customHeight="1">
      <c r="A37" s="32"/>
      <c r="B37" s="82" t="s">
        <v>586</v>
      </c>
      <c r="C37" s="23" t="s">
        <v>411</v>
      </c>
      <c r="D37" s="24" t="s">
        <v>17</v>
      </c>
      <c r="E37" s="24" t="s">
        <v>15</v>
      </c>
      <c r="F37" s="23" t="s">
        <v>433</v>
      </c>
      <c r="G37" s="191"/>
      <c r="H37" s="3"/>
      <c r="I37" s="3"/>
      <c r="J37" s="3"/>
      <c r="K37" s="3"/>
    </row>
    <row r="38" spans="1:11" ht="16.5" hidden="1" customHeight="1">
      <c r="A38" s="32"/>
      <c r="B38" s="82" t="s">
        <v>683</v>
      </c>
      <c r="C38" s="23" t="s">
        <v>480</v>
      </c>
      <c r="D38" s="24" t="s">
        <v>481</v>
      </c>
      <c r="E38" s="24" t="s">
        <v>15</v>
      </c>
      <c r="F38" s="23" t="s">
        <v>482</v>
      </c>
      <c r="G38" s="191"/>
      <c r="H38" s="3"/>
      <c r="I38" s="3"/>
      <c r="J38" s="3"/>
      <c r="K38" s="3"/>
    </row>
    <row r="39" spans="1:11" ht="16.5" hidden="1" customHeight="1">
      <c r="A39" s="32"/>
      <c r="B39" s="85" t="s">
        <v>592</v>
      </c>
      <c r="C39" s="23"/>
      <c r="D39" s="24"/>
      <c r="E39" s="24"/>
      <c r="F39" s="42"/>
      <c r="G39" s="191"/>
      <c r="H39" s="3"/>
      <c r="I39" s="3"/>
      <c r="J39" s="3"/>
      <c r="K39" s="3"/>
    </row>
    <row r="40" spans="1:11" ht="16.5" hidden="1" customHeight="1" thickBot="1">
      <c r="A40" s="32"/>
      <c r="B40" s="83" t="s">
        <v>483</v>
      </c>
      <c r="C40" s="25" t="s">
        <v>484</v>
      </c>
      <c r="D40" s="26" t="s">
        <v>17</v>
      </c>
      <c r="E40" s="26" t="s">
        <v>15</v>
      </c>
      <c r="F40" s="25" t="s">
        <v>485</v>
      </c>
      <c r="G40" s="192"/>
      <c r="H40" s="3"/>
      <c r="I40" s="3"/>
      <c r="J40" s="3"/>
      <c r="K40" s="3"/>
    </row>
    <row r="41" spans="1:11" ht="18" hidden="1" thickBot="1">
      <c r="A41" s="32"/>
      <c r="B41" s="44"/>
      <c r="C41" s="3"/>
      <c r="D41" s="7"/>
      <c r="E41" s="7"/>
      <c r="F41" s="44"/>
      <c r="G41" s="3"/>
      <c r="H41" s="3"/>
      <c r="I41" s="3"/>
      <c r="J41" s="3"/>
      <c r="K41" s="3"/>
    </row>
    <row r="42" spans="1:11" hidden="1">
      <c r="A42" s="32"/>
      <c r="B42" s="79" t="s">
        <v>256</v>
      </c>
      <c r="C42" s="195" t="s">
        <v>549</v>
      </c>
      <c r="D42" s="195"/>
      <c r="E42" s="195"/>
      <c r="F42" s="195"/>
      <c r="G42" s="196"/>
    </row>
    <row r="43" spans="1:11" hidden="1">
      <c r="A43" s="32"/>
      <c r="B43" s="80" t="s">
        <v>44</v>
      </c>
      <c r="C43" s="197" t="s">
        <v>390</v>
      </c>
      <c r="D43" s="197"/>
      <c r="E43" s="197"/>
      <c r="F43" s="197"/>
      <c r="G43" s="198"/>
    </row>
    <row r="44" spans="1:11" ht="17.25" hidden="1" customHeight="1" thickBot="1">
      <c r="A44" s="32"/>
      <c r="B44" s="81" t="s">
        <v>52</v>
      </c>
      <c r="C44" s="175" t="s">
        <v>502</v>
      </c>
      <c r="D44" s="175"/>
      <c r="E44" s="175"/>
      <c r="F44" s="175"/>
      <c r="G44" s="176"/>
    </row>
    <row r="45" spans="1:11" hidden="1">
      <c r="A45" s="32"/>
      <c r="B45" s="161" t="s">
        <v>0</v>
      </c>
      <c r="C45" s="162"/>
      <c r="D45" s="162"/>
      <c r="E45" s="162"/>
      <c r="F45" s="162"/>
      <c r="G45" s="163"/>
    </row>
    <row r="46" spans="1:11" hidden="1">
      <c r="A46" s="32"/>
      <c r="B46" s="17" t="s">
        <v>2</v>
      </c>
      <c r="C46" s="4" t="s">
        <v>3</v>
      </c>
      <c r="D46" s="4" t="s">
        <v>4</v>
      </c>
      <c r="E46" s="4" t="s">
        <v>20</v>
      </c>
      <c r="F46" s="4" t="s">
        <v>5</v>
      </c>
      <c r="G46" s="18" t="s">
        <v>6</v>
      </c>
      <c r="J46" s="3"/>
      <c r="K46" s="3"/>
    </row>
    <row r="47" spans="1:11" hidden="1">
      <c r="A47" s="32"/>
      <c r="B47" s="82" t="s">
        <v>13</v>
      </c>
      <c r="C47" s="23" t="s">
        <v>56</v>
      </c>
      <c r="D47" s="24" t="s">
        <v>60</v>
      </c>
      <c r="E47" s="24" t="s">
        <v>15</v>
      </c>
      <c r="F47" t="s">
        <v>488</v>
      </c>
      <c r="G47" s="199" t="s">
        <v>729</v>
      </c>
      <c r="J47" s="3"/>
      <c r="K47" s="3"/>
    </row>
    <row r="48" spans="1:11" hidden="1">
      <c r="A48" s="32"/>
      <c r="B48" s="82" t="s">
        <v>338</v>
      </c>
      <c r="C48" s="23" t="s">
        <v>339</v>
      </c>
      <c r="D48" s="24" t="s">
        <v>741</v>
      </c>
      <c r="E48" s="24" t="s">
        <v>15</v>
      </c>
      <c r="F48" s="42" t="s">
        <v>463</v>
      </c>
      <c r="G48" s="199"/>
      <c r="J48" s="3"/>
      <c r="K48" s="3"/>
    </row>
    <row r="49" spans="1:11" hidden="1">
      <c r="A49" s="32"/>
      <c r="B49" s="82" t="s">
        <v>340</v>
      </c>
      <c r="C49" s="23" t="s">
        <v>341</v>
      </c>
      <c r="D49" s="24" t="s">
        <v>159</v>
      </c>
      <c r="E49" s="24" t="s">
        <v>67</v>
      </c>
      <c r="F49" s="42" t="s">
        <v>342</v>
      </c>
      <c r="G49" s="199"/>
      <c r="J49" s="3"/>
      <c r="K49" s="3"/>
    </row>
    <row r="50" spans="1:11" hidden="1">
      <c r="A50" s="32"/>
      <c r="B50" s="82" t="s">
        <v>343</v>
      </c>
      <c r="C50" s="23" t="s">
        <v>344</v>
      </c>
      <c r="D50" s="24" t="s">
        <v>159</v>
      </c>
      <c r="E50" s="24" t="s">
        <v>67</v>
      </c>
      <c r="F50" s="42" t="s">
        <v>345</v>
      </c>
      <c r="G50" s="199"/>
      <c r="J50" s="8"/>
      <c r="K50" s="8"/>
    </row>
    <row r="51" spans="1:11" hidden="1">
      <c r="A51" s="32"/>
      <c r="B51" s="82" t="s">
        <v>346</v>
      </c>
      <c r="C51" s="23" t="s">
        <v>347</v>
      </c>
      <c r="D51" s="24" t="s">
        <v>159</v>
      </c>
      <c r="E51" s="24" t="s">
        <v>67</v>
      </c>
      <c r="F51" s="42" t="s">
        <v>348</v>
      </c>
      <c r="G51" s="199"/>
      <c r="J51" s="3"/>
      <c r="K51" s="3"/>
    </row>
    <row r="52" spans="1:11" hidden="1">
      <c r="A52" s="32"/>
      <c r="B52" s="82" t="s">
        <v>349</v>
      </c>
      <c r="C52" s="23" t="s">
        <v>350</v>
      </c>
      <c r="D52" s="24" t="s">
        <v>136</v>
      </c>
      <c r="E52" s="24" t="s">
        <v>67</v>
      </c>
      <c r="F52" s="42" t="s">
        <v>351</v>
      </c>
      <c r="G52" s="199"/>
      <c r="J52" s="3"/>
      <c r="K52" s="3"/>
    </row>
    <row r="53" spans="1:11" hidden="1">
      <c r="A53" s="32"/>
      <c r="B53" s="82" t="s">
        <v>352</v>
      </c>
      <c r="C53" s="23" t="s">
        <v>353</v>
      </c>
      <c r="D53" s="24" t="s">
        <v>136</v>
      </c>
      <c r="E53" s="24" t="s">
        <v>67</v>
      </c>
      <c r="F53" s="42" t="s">
        <v>384</v>
      </c>
      <c r="G53" s="199"/>
      <c r="J53" s="3"/>
      <c r="K53" s="3"/>
    </row>
    <row r="54" spans="1:11" ht="18" hidden="1" thickBot="1">
      <c r="A54" s="32"/>
      <c r="B54" s="83" t="s">
        <v>354</v>
      </c>
      <c r="C54" s="25" t="s">
        <v>355</v>
      </c>
      <c r="D54" s="26" t="s">
        <v>159</v>
      </c>
      <c r="E54" s="26" t="s">
        <v>67</v>
      </c>
      <c r="F54" s="43" t="s">
        <v>356</v>
      </c>
      <c r="G54" s="200"/>
      <c r="J54" s="3"/>
      <c r="K54" s="8"/>
    </row>
    <row r="55" spans="1:11" hidden="1">
      <c r="A55" s="32"/>
      <c r="B55" s="147" t="s">
        <v>1</v>
      </c>
      <c r="C55" s="148"/>
      <c r="D55" s="148"/>
      <c r="E55" s="148"/>
      <c r="F55" s="148"/>
      <c r="G55" s="149"/>
      <c r="J55" s="3"/>
      <c r="K55" s="3"/>
    </row>
    <row r="56" spans="1:11" hidden="1">
      <c r="A56" s="32"/>
      <c r="B56" s="19" t="s">
        <v>2</v>
      </c>
      <c r="C56" s="5" t="s">
        <v>3</v>
      </c>
      <c r="D56" s="5" t="s">
        <v>4</v>
      </c>
      <c r="E56" s="5" t="s">
        <v>20</v>
      </c>
      <c r="F56" s="5" t="s">
        <v>22</v>
      </c>
      <c r="G56" s="20" t="s">
        <v>7</v>
      </c>
      <c r="J56" s="3"/>
      <c r="K56" s="3"/>
    </row>
    <row r="57" spans="1:11" hidden="1">
      <c r="A57" s="32"/>
      <c r="B57" s="82" t="s">
        <v>357</v>
      </c>
      <c r="C57" s="23" t="s">
        <v>358</v>
      </c>
      <c r="D57" s="24" t="s">
        <v>14</v>
      </c>
      <c r="E57" s="24" t="s">
        <v>397</v>
      </c>
      <c r="F57" s="42" t="s">
        <v>359</v>
      </c>
      <c r="G57" s="199" t="s">
        <v>387</v>
      </c>
      <c r="J57" s="3"/>
      <c r="K57" s="3"/>
    </row>
    <row r="58" spans="1:11" hidden="1">
      <c r="A58" s="32"/>
      <c r="B58" s="82" t="s">
        <v>360</v>
      </c>
      <c r="C58" s="23" t="s">
        <v>361</v>
      </c>
      <c r="D58" s="24" t="s">
        <v>14</v>
      </c>
      <c r="E58" s="24" t="s">
        <v>396</v>
      </c>
      <c r="F58" s="42" t="s">
        <v>362</v>
      </c>
      <c r="G58" s="201"/>
      <c r="K58" s="3"/>
    </row>
    <row r="59" spans="1:11" ht="16.5" hidden="1" customHeight="1">
      <c r="A59" s="32"/>
      <c r="B59" s="82" t="s">
        <v>363</v>
      </c>
      <c r="C59" s="23" t="s">
        <v>364</v>
      </c>
      <c r="D59" s="24" t="s">
        <v>14</v>
      </c>
      <c r="E59" s="24" t="s">
        <v>396</v>
      </c>
      <c r="F59" s="42" t="s">
        <v>746</v>
      </c>
      <c r="G59" s="201"/>
      <c r="J59" s="40"/>
      <c r="K59" s="3"/>
    </row>
    <row r="60" spans="1:11" hidden="1">
      <c r="A60" s="32"/>
      <c r="B60" s="82" t="s">
        <v>365</v>
      </c>
      <c r="C60" s="23" t="s">
        <v>366</v>
      </c>
      <c r="D60" s="24" t="s">
        <v>14</v>
      </c>
      <c r="E60" s="24" t="s">
        <v>396</v>
      </c>
      <c r="F60" s="42" t="s">
        <v>367</v>
      </c>
      <c r="G60" s="201"/>
    </row>
    <row r="61" spans="1:11" ht="16.5" hidden="1" customHeight="1">
      <c r="A61" s="32"/>
      <c r="B61" s="82" t="s">
        <v>368</v>
      </c>
      <c r="C61" s="23" t="s">
        <v>369</v>
      </c>
      <c r="D61" s="24" t="s">
        <v>14</v>
      </c>
      <c r="E61" s="24" t="s">
        <v>396</v>
      </c>
      <c r="F61" s="42" t="s">
        <v>370</v>
      </c>
      <c r="G61" s="201"/>
      <c r="K61" s="40"/>
    </row>
    <row r="62" spans="1:11" ht="18" hidden="1" thickBot="1">
      <c r="A62" s="32"/>
      <c r="B62" s="83" t="s">
        <v>371</v>
      </c>
      <c r="C62" s="25" t="s">
        <v>372</v>
      </c>
      <c r="D62" s="26" t="s">
        <v>14</v>
      </c>
      <c r="E62" s="26" t="s">
        <v>395</v>
      </c>
      <c r="F62" s="43" t="s">
        <v>373</v>
      </c>
      <c r="G62" s="202"/>
    </row>
    <row r="63" spans="1:11" hidden="1">
      <c r="A63" s="32"/>
      <c r="B63" s="61"/>
      <c r="C63" s="54"/>
      <c r="D63" s="55"/>
      <c r="E63" s="55"/>
      <c r="F63" s="61"/>
      <c r="G63" s="69"/>
    </row>
    <row r="64" spans="1:11" ht="17.25" hidden="1" customHeight="1" thickBot="1">
      <c r="A64" s="32"/>
      <c r="B64" s="61"/>
      <c r="C64" s="54"/>
      <c r="D64" s="55"/>
      <c r="E64" s="55"/>
      <c r="F64" s="61"/>
      <c r="G64" s="69"/>
    </row>
    <row r="65" spans="1:7" hidden="1">
      <c r="B65" s="79" t="s">
        <v>256</v>
      </c>
      <c r="C65" s="167" t="s">
        <v>544</v>
      </c>
      <c r="D65" s="167"/>
      <c r="E65" s="167"/>
      <c r="F65" s="167"/>
      <c r="G65" s="168"/>
    </row>
    <row r="66" spans="1:7" hidden="1">
      <c r="B66" s="80" t="s">
        <v>44</v>
      </c>
      <c r="C66" s="142" t="s">
        <v>674</v>
      </c>
      <c r="D66" s="142"/>
      <c r="E66" s="142"/>
      <c r="F66" s="142"/>
      <c r="G66" s="174"/>
    </row>
    <row r="67" spans="1:7" ht="18" hidden="1" thickBot="1">
      <c r="B67" s="81" t="s">
        <v>52</v>
      </c>
      <c r="C67" s="193" t="s">
        <v>676</v>
      </c>
      <c r="D67" s="193"/>
      <c r="E67" s="193"/>
      <c r="F67" s="193"/>
      <c r="G67" s="194"/>
    </row>
    <row r="68" spans="1:7" hidden="1">
      <c r="B68" s="177" t="s">
        <v>271</v>
      </c>
      <c r="C68" s="178"/>
      <c r="D68" s="178"/>
      <c r="E68" s="178"/>
      <c r="F68" s="178"/>
      <c r="G68" s="179"/>
    </row>
    <row r="69" spans="1:7" hidden="1">
      <c r="B69" s="17" t="s">
        <v>2</v>
      </c>
      <c r="C69" s="4" t="s">
        <v>3</v>
      </c>
      <c r="D69" s="4" t="s">
        <v>4</v>
      </c>
      <c r="E69" s="4" t="s">
        <v>20</v>
      </c>
      <c r="F69" s="4" t="s">
        <v>5</v>
      </c>
      <c r="G69" s="18" t="s">
        <v>6</v>
      </c>
    </row>
    <row r="70" spans="1:7" hidden="1">
      <c r="B70" s="82" t="s">
        <v>13</v>
      </c>
      <c r="C70" s="23" t="s">
        <v>268</v>
      </c>
      <c r="D70" s="24" t="s">
        <v>270</v>
      </c>
      <c r="E70" s="24" t="s">
        <v>269</v>
      </c>
      <c r="F70" s="32" t="s">
        <v>488</v>
      </c>
      <c r="G70" s="150" t="s">
        <v>596</v>
      </c>
    </row>
    <row r="71" spans="1:7" ht="18" hidden="1" thickBot="1">
      <c r="B71" s="83" t="s">
        <v>470</v>
      </c>
      <c r="C71" s="31"/>
      <c r="D71" s="26" t="s">
        <v>267</v>
      </c>
      <c r="E71" s="26" t="s">
        <v>269</v>
      </c>
      <c r="F71" s="60"/>
      <c r="G71" s="151"/>
    </row>
    <row r="72" spans="1:7" hidden="1">
      <c r="B72" s="147" t="s">
        <v>1</v>
      </c>
      <c r="C72" s="148"/>
      <c r="D72" s="148"/>
      <c r="E72" s="148"/>
      <c r="F72" s="148"/>
      <c r="G72" s="149"/>
    </row>
    <row r="73" spans="1:7" hidden="1">
      <c r="B73" s="19" t="s">
        <v>2</v>
      </c>
      <c r="C73" s="5" t="s">
        <v>3</v>
      </c>
      <c r="D73" s="5" t="s">
        <v>4</v>
      </c>
      <c r="E73" s="5" t="s">
        <v>20</v>
      </c>
      <c r="F73" s="5" t="s">
        <v>5</v>
      </c>
      <c r="G73" s="20" t="s">
        <v>7</v>
      </c>
    </row>
    <row r="74" spans="1:7" ht="16.5" hidden="1" customHeight="1" thickBot="1">
      <c r="B74" s="83" t="s">
        <v>593</v>
      </c>
      <c r="C74" s="25" t="s">
        <v>594</v>
      </c>
      <c r="D74" s="26" t="s">
        <v>580</v>
      </c>
      <c r="E74" s="26" t="s">
        <v>581</v>
      </c>
      <c r="F74" s="43"/>
      <c r="G74" s="34" t="s">
        <v>595</v>
      </c>
    </row>
    <row r="75" spans="1:7" ht="16.5" hidden="1" customHeight="1">
      <c r="B75" s="61"/>
      <c r="C75" s="54"/>
      <c r="D75" s="55"/>
      <c r="E75" s="55"/>
      <c r="F75" s="61"/>
      <c r="G75" s="109"/>
    </row>
    <row r="76" spans="1:7" ht="18" thickBot="1">
      <c r="A76" s="32"/>
      <c r="B76" s="61"/>
      <c r="C76" s="54"/>
      <c r="D76" s="55"/>
      <c r="E76" s="55"/>
      <c r="F76" s="61"/>
      <c r="G76" s="69"/>
    </row>
    <row r="77" spans="1:7">
      <c r="B77" s="79" t="s">
        <v>374</v>
      </c>
      <c r="C77" s="152" t="s">
        <v>661</v>
      </c>
      <c r="D77" s="153"/>
      <c r="E77" s="153"/>
      <c r="F77" s="153"/>
      <c r="G77" s="154"/>
    </row>
    <row r="78" spans="1:7">
      <c r="B78" s="80" t="s">
        <v>375</v>
      </c>
      <c r="C78" s="155" t="s">
        <v>651</v>
      </c>
      <c r="D78" s="156"/>
      <c r="E78" s="156"/>
      <c r="F78" s="156"/>
      <c r="G78" s="157"/>
    </row>
    <row r="79" spans="1:7" ht="18" thickBot="1">
      <c r="B79" s="81" t="s">
        <v>376</v>
      </c>
      <c r="C79" s="180" t="s">
        <v>735</v>
      </c>
      <c r="D79" s="180"/>
      <c r="E79" s="180"/>
      <c r="F79" s="180"/>
      <c r="G79" s="181"/>
    </row>
    <row r="80" spans="1:7">
      <c r="B80" s="161" t="s">
        <v>0</v>
      </c>
      <c r="C80" s="162"/>
      <c r="D80" s="162"/>
      <c r="E80" s="162"/>
      <c r="F80" s="162"/>
      <c r="G80" s="163"/>
    </row>
    <row r="81" spans="2:22">
      <c r="B81" s="17" t="s">
        <v>2</v>
      </c>
      <c r="C81" s="4" t="s">
        <v>3</v>
      </c>
      <c r="D81" s="4" t="s">
        <v>4</v>
      </c>
      <c r="E81" s="4" t="s">
        <v>377</v>
      </c>
      <c r="F81" s="4" t="s">
        <v>5</v>
      </c>
      <c r="G81" s="18" t="s">
        <v>6</v>
      </c>
    </row>
    <row r="82" spans="2:22" ht="16.5" customHeight="1">
      <c r="B82" s="105" t="s">
        <v>13</v>
      </c>
      <c r="C82" s="72" t="s">
        <v>56</v>
      </c>
      <c r="D82" s="73" t="s">
        <v>60</v>
      </c>
      <c r="E82" s="73" t="s">
        <v>15</v>
      </c>
      <c r="F82" s="72" t="s">
        <v>488</v>
      </c>
      <c r="G82" s="182" t="s">
        <v>745</v>
      </c>
    </row>
    <row r="83" spans="2:22">
      <c r="B83" s="105" t="s">
        <v>629</v>
      </c>
      <c r="C83" s="72" t="s">
        <v>8</v>
      </c>
      <c r="D83" s="73" t="s">
        <v>17</v>
      </c>
      <c r="E83" s="73" t="s">
        <v>684</v>
      </c>
      <c r="F83" s="72" t="s">
        <v>597</v>
      </c>
      <c r="G83" s="183"/>
    </row>
    <row r="84" spans="2:22">
      <c r="B84" s="105" t="s">
        <v>630</v>
      </c>
      <c r="C84" s="72" t="s">
        <v>59</v>
      </c>
      <c r="D84" s="73" t="s">
        <v>60</v>
      </c>
      <c r="E84" s="73" t="s">
        <v>684</v>
      </c>
      <c r="F84" s="72" t="s">
        <v>598</v>
      </c>
      <c r="G84" s="183"/>
    </row>
    <row r="85" spans="2:22">
      <c r="B85" s="105" t="s">
        <v>631</v>
      </c>
      <c r="C85" s="72" t="s">
        <v>62</v>
      </c>
      <c r="D85" s="73" t="s">
        <v>17</v>
      </c>
      <c r="E85" s="73" t="s">
        <v>15</v>
      </c>
      <c r="F85" s="72" t="s">
        <v>599</v>
      </c>
      <c r="G85" s="183"/>
    </row>
    <row r="86" spans="2:22">
      <c r="B86" s="105" t="s">
        <v>632</v>
      </c>
      <c r="C86" s="72" t="s">
        <v>600</v>
      </c>
      <c r="D86" s="73" t="s">
        <v>17</v>
      </c>
      <c r="E86" s="73" t="s">
        <v>15</v>
      </c>
      <c r="F86" s="72" t="s">
        <v>65</v>
      </c>
      <c r="G86" s="183"/>
    </row>
    <row r="87" spans="2:22">
      <c r="B87" s="105" t="s">
        <v>633</v>
      </c>
      <c r="C87" s="72" t="s">
        <v>601</v>
      </c>
      <c r="D87" s="73" t="s">
        <v>17</v>
      </c>
      <c r="E87" s="73" t="s">
        <v>67</v>
      </c>
      <c r="F87" s="72" t="s">
        <v>602</v>
      </c>
      <c r="G87" s="183"/>
    </row>
    <row r="88" spans="2:22">
      <c r="B88" s="105" t="s">
        <v>634</v>
      </c>
      <c r="C88" s="72" t="s">
        <v>603</v>
      </c>
      <c r="D88" s="73" t="s">
        <v>17</v>
      </c>
      <c r="E88" s="73" t="s">
        <v>67</v>
      </c>
      <c r="F88" s="72" t="s">
        <v>604</v>
      </c>
      <c r="G88" s="183"/>
    </row>
    <row r="89" spans="2:22">
      <c r="B89" s="105" t="s">
        <v>635</v>
      </c>
      <c r="C89" s="72" t="s">
        <v>605</v>
      </c>
      <c r="D89" s="73" t="s">
        <v>17</v>
      </c>
      <c r="E89" s="73" t="s">
        <v>67</v>
      </c>
      <c r="F89" s="72" t="s">
        <v>606</v>
      </c>
      <c r="G89" s="183"/>
    </row>
    <row r="90" spans="2:22">
      <c r="B90" s="105" t="s">
        <v>636</v>
      </c>
      <c r="C90" s="72" t="s">
        <v>77</v>
      </c>
      <c r="D90" s="73" t="s">
        <v>17</v>
      </c>
      <c r="E90" s="73" t="s">
        <v>67</v>
      </c>
      <c r="F90" s="72" t="s">
        <v>607</v>
      </c>
      <c r="G90" s="183"/>
    </row>
    <row r="91" spans="2:22">
      <c r="B91" s="105" t="s">
        <v>744</v>
      </c>
      <c r="C91" s="72" t="s">
        <v>82</v>
      </c>
      <c r="D91" s="73" t="s">
        <v>60</v>
      </c>
      <c r="E91" s="73" t="s">
        <v>67</v>
      </c>
      <c r="F91" s="72" t="s">
        <v>608</v>
      </c>
      <c r="G91" s="183"/>
    </row>
    <row r="92" spans="2:22">
      <c r="B92" s="105" t="s">
        <v>757</v>
      </c>
      <c r="C92" s="72" t="s">
        <v>609</v>
      </c>
      <c r="D92" s="73" t="s">
        <v>17</v>
      </c>
      <c r="E92" s="73" t="s">
        <v>67</v>
      </c>
      <c r="F92" s="72" t="s">
        <v>610</v>
      </c>
      <c r="G92" s="183"/>
    </row>
    <row r="93" spans="2:22">
      <c r="B93" s="105" t="s">
        <v>697</v>
      </c>
      <c r="C93" s="72" t="s">
        <v>696</v>
      </c>
      <c r="D93" s="73" t="s">
        <v>741</v>
      </c>
      <c r="E93" s="73" t="s">
        <v>67</v>
      </c>
      <c r="F93" s="72" t="s">
        <v>611</v>
      </c>
      <c r="G93" s="183"/>
    </row>
    <row r="94" spans="2:22">
      <c r="B94" s="105" t="s">
        <v>638</v>
      </c>
      <c r="C94" s="72" t="s">
        <v>89</v>
      </c>
      <c r="D94" s="73" t="s">
        <v>17</v>
      </c>
      <c r="E94" s="73" t="s">
        <v>67</v>
      </c>
      <c r="F94" s="72" t="s">
        <v>612</v>
      </c>
      <c r="G94" s="183"/>
      <c r="L94" s="8"/>
      <c r="M94" s="8"/>
      <c r="N94" s="8"/>
      <c r="O94" s="8"/>
      <c r="P94" s="8"/>
      <c r="Q94" s="8"/>
    </row>
    <row r="95" spans="2:22">
      <c r="B95" s="105" t="s">
        <v>678</v>
      </c>
      <c r="C95" s="72" t="s">
        <v>91</v>
      </c>
      <c r="D95" s="73" t="s">
        <v>60</v>
      </c>
      <c r="E95" s="73" t="s">
        <v>67</v>
      </c>
      <c r="F95" s="72" t="s">
        <v>613</v>
      </c>
      <c r="G95" s="183"/>
      <c r="L95" s="3"/>
      <c r="M95" s="3"/>
      <c r="N95" s="3"/>
      <c r="O95" s="3"/>
      <c r="P95" s="3"/>
      <c r="Q95" s="3"/>
      <c r="R95" s="8"/>
      <c r="S95" s="8"/>
      <c r="T95" s="8"/>
      <c r="U95" s="8"/>
      <c r="V95" s="8"/>
    </row>
    <row r="96" spans="2:22">
      <c r="B96" s="105" t="s">
        <v>756</v>
      </c>
      <c r="C96" s="72" t="s">
        <v>614</v>
      </c>
      <c r="D96" s="73" t="s">
        <v>17</v>
      </c>
      <c r="E96" s="73" t="s">
        <v>67</v>
      </c>
      <c r="F96" s="72" t="s">
        <v>615</v>
      </c>
      <c r="G96" s="18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2:22">
      <c r="B97" s="105" t="s">
        <v>640</v>
      </c>
      <c r="C97" s="72" t="s">
        <v>616</v>
      </c>
      <c r="D97" s="73" t="s">
        <v>17</v>
      </c>
      <c r="E97" s="73" t="s">
        <v>67</v>
      </c>
      <c r="F97" s="72" t="s">
        <v>617</v>
      </c>
      <c r="G97" s="18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2:22">
      <c r="B98" s="105" t="s">
        <v>680</v>
      </c>
      <c r="C98" s="72" t="s">
        <v>618</v>
      </c>
      <c r="D98" s="73" t="s">
        <v>17</v>
      </c>
      <c r="E98" s="73" t="s">
        <v>67</v>
      </c>
      <c r="F98" s="72" t="s">
        <v>619</v>
      </c>
      <c r="G98" s="18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2:22">
      <c r="B99" s="105" t="s">
        <v>677</v>
      </c>
      <c r="C99" s="72" t="s">
        <v>620</v>
      </c>
      <c r="D99" s="73" t="s">
        <v>17</v>
      </c>
      <c r="E99" s="73" t="s">
        <v>67</v>
      </c>
      <c r="F99" s="72" t="s">
        <v>621</v>
      </c>
      <c r="G99" s="183"/>
      <c r="R99" s="3"/>
      <c r="S99" s="3"/>
      <c r="T99" s="3"/>
      <c r="U99" s="3"/>
      <c r="V99" s="3"/>
    </row>
    <row r="100" spans="2:22" ht="21.9">
      <c r="B100" s="105" t="s">
        <v>698</v>
      </c>
      <c r="C100" s="72" t="s">
        <v>622</v>
      </c>
      <c r="D100" s="73" t="s">
        <v>60</v>
      </c>
      <c r="E100" s="73" t="s">
        <v>761</v>
      </c>
      <c r="F100" s="72" t="s">
        <v>623</v>
      </c>
      <c r="G100" s="183"/>
      <c r="L100" s="40"/>
      <c r="R100" s="3"/>
      <c r="S100" s="3"/>
      <c r="T100" s="3"/>
      <c r="U100" s="3"/>
      <c r="V100" s="3"/>
    </row>
    <row r="101" spans="2:22">
      <c r="B101" s="105" t="s">
        <v>681</v>
      </c>
      <c r="C101" s="72" t="s">
        <v>105</v>
      </c>
      <c r="D101" s="73" t="s">
        <v>17</v>
      </c>
      <c r="E101" s="73" t="s">
        <v>762</v>
      </c>
      <c r="F101" s="72" t="s">
        <v>624</v>
      </c>
      <c r="G101" s="183"/>
    </row>
    <row r="102" spans="2:22" ht="21.9">
      <c r="B102" s="105" t="s">
        <v>682</v>
      </c>
      <c r="C102" s="72" t="s">
        <v>282</v>
      </c>
      <c r="D102" s="73" t="s">
        <v>17</v>
      </c>
      <c r="E102" s="73" t="s">
        <v>762</v>
      </c>
      <c r="F102" s="72" t="s">
        <v>625</v>
      </c>
      <c r="G102" s="183"/>
      <c r="Q102" s="40"/>
    </row>
    <row r="103" spans="2:22" ht="18" customHeight="1">
      <c r="B103" s="105" t="s">
        <v>747</v>
      </c>
      <c r="C103" s="72" t="s">
        <v>626</v>
      </c>
      <c r="D103" s="73" t="s">
        <v>740</v>
      </c>
      <c r="E103" s="73" t="s">
        <v>762</v>
      </c>
      <c r="F103" s="72" t="s">
        <v>763</v>
      </c>
      <c r="G103" s="183"/>
    </row>
    <row r="104" spans="2:22" ht="18" customHeight="1" thickBot="1">
      <c r="B104" s="130" t="s">
        <v>755</v>
      </c>
      <c r="C104" s="131" t="s">
        <v>758</v>
      </c>
      <c r="D104" s="132" t="s">
        <v>267</v>
      </c>
      <c r="E104" s="132" t="s">
        <v>395</v>
      </c>
      <c r="F104" s="131" t="s">
        <v>759</v>
      </c>
      <c r="G104" s="184"/>
    </row>
    <row r="105" spans="2:22">
      <c r="B105" s="185" t="s">
        <v>1</v>
      </c>
      <c r="C105" s="186"/>
      <c r="D105" s="186"/>
      <c r="E105" s="186"/>
      <c r="F105" s="186"/>
      <c r="G105" s="187"/>
    </row>
    <row r="106" spans="2:22">
      <c r="B106" s="19" t="s">
        <v>2</v>
      </c>
      <c r="C106" s="5" t="s">
        <v>3</v>
      </c>
      <c r="D106" s="5" t="s">
        <v>4</v>
      </c>
      <c r="E106" s="5" t="s">
        <v>20</v>
      </c>
      <c r="F106" s="5" t="s">
        <v>379</v>
      </c>
      <c r="G106" s="20" t="s">
        <v>7</v>
      </c>
    </row>
    <row r="107" spans="2:22">
      <c r="B107" s="105" t="s">
        <v>742</v>
      </c>
      <c r="C107" s="72" t="s">
        <v>103</v>
      </c>
      <c r="D107" s="73" t="s">
        <v>17</v>
      </c>
      <c r="E107" s="73" t="s">
        <v>15</v>
      </c>
      <c r="F107" s="72" t="s">
        <v>699</v>
      </c>
      <c r="G107" s="188" t="s">
        <v>765</v>
      </c>
    </row>
    <row r="108" spans="2:22">
      <c r="B108" s="105" t="s">
        <v>703</v>
      </c>
      <c r="C108" s="72" t="s">
        <v>700</v>
      </c>
      <c r="D108" s="73" t="s">
        <v>14</v>
      </c>
      <c r="E108" s="73" t="s">
        <v>15</v>
      </c>
      <c r="F108" s="72" t="s">
        <v>725</v>
      </c>
      <c r="G108" s="188"/>
    </row>
    <row r="109" spans="2:22">
      <c r="B109" s="105" t="s">
        <v>743</v>
      </c>
      <c r="C109" s="72" t="s">
        <v>701</v>
      </c>
      <c r="D109" s="73" t="s">
        <v>17</v>
      </c>
      <c r="E109" s="73" t="s">
        <v>15</v>
      </c>
      <c r="F109" s="72" t="s">
        <v>705</v>
      </c>
      <c r="G109" s="188"/>
    </row>
    <row r="110" spans="2:22" ht="18" customHeight="1" thickBot="1">
      <c r="B110" s="126" t="s">
        <v>707</v>
      </c>
      <c r="C110" s="75" t="s">
        <v>706</v>
      </c>
      <c r="D110" s="76" t="s">
        <v>14</v>
      </c>
      <c r="E110" s="76" t="s">
        <v>15</v>
      </c>
      <c r="F110" s="75" t="s">
        <v>723</v>
      </c>
      <c r="G110" s="189"/>
    </row>
    <row r="111" spans="2:22" ht="17.25" customHeight="1" thickBot="1">
      <c r="B111" s="45"/>
      <c r="C111" s="13"/>
      <c r="D111" s="13"/>
      <c r="E111" s="13"/>
      <c r="F111" s="45"/>
      <c r="G111" s="36"/>
    </row>
    <row r="112" spans="2:22">
      <c r="B112" s="79" t="s">
        <v>256</v>
      </c>
      <c r="C112" s="167" t="s">
        <v>664</v>
      </c>
      <c r="D112" s="167"/>
      <c r="E112" s="167"/>
      <c r="F112" s="167"/>
      <c r="G112" s="168"/>
    </row>
    <row r="113" spans="2:7">
      <c r="B113" s="80" t="s">
        <v>48</v>
      </c>
      <c r="C113" s="142" t="s">
        <v>666</v>
      </c>
      <c r="D113" s="142"/>
      <c r="E113" s="142"/>
      <c r="F113" s="142"/>
      <c r="G113" s="174"/>
    </row>
    <row r="114" spans="2:7" ht="17.25" customHeight="1" thickBot="1">
      <c r="B114" s="81" t="s">
        <v>52</v>
      </c>
      <c r="C114" s="175" t="s">
        <v>749</v>
      </c>
      <c r="D114" s="175"/>
      <c r="E114" s="175"/>
      <c r="F114" s="175"/>
      <c r="G114" s="176"/>
    </row>
    <row r="115" spans="2:7">
      <c r="B115" s="161" t="s">
        <v>271</v>
      </c>
      <c r="C115" s="162"/>
      <c r="D115" s="162"/>
      <c r="E115" s="162"/>
      <c r="F115" s="162"/>
      <c r="G115" s="163"/>
    </row>
    <row r="116" spans="2:7">
      <c r="B116" s="17" t="s">
        <v>2</v>
      </c>
      <c r="C116" s="4" t="s">
        <v>3</v>
      </c>
      <c r="D116" s="4" t="s">
        <v>4</v>
      </c>
      <c r="E116" s="4" t="s">
        <v>20</v>
      </c>
      <c r="F116" s="4" t="s">
        <v>5</v>
      </c>
      <c r="G116" s="18" t="s">
        <v>6</v>
      </c>
    </row>
    <row r="117" spans="2:7" ht="17.25" customHeight="1">
      <c r="B117" s="105" t="s">
        <v>13</v>
      </c>
      <c r="C117" s="72" t="s">
        <v>56</v>
      </c>
      <c r="D117" s="73" t="s">
        <v>60</v>
      </c>
      <c r="E117" s="73" t="s">
        <v>684</v>
      </c>
      <c r="F117" s="72" t="s">
        <v>488</v>
      </c>
      <c r="G117" s="164" t="s">
        <v>773</v>
      </c>
    </row>
    <row r="118" spans="2:7" ht="17.25" customHeight="1">
      <c r="B118" s="105" t="s">
        <v>629</v>
      </c>
      <c r="C118" s="72" t="s">
        <v>8</v>
      </c>
      <c r="D118" s="73" t="s">
        <v>17</v>
      </c>
      <c r="E118" s="73" t="s">
        <v>684</v>
      </c>
      <c r="F118" s="72" t="s">
        <v>597</v>
      </c>
      <c r="G118" s="165"/>
    </row>
    <row r="119" spans="2:7" ht="17.25" customHeight="1">
      <c r="B119" s="105" t="s">
        <v>630</v>
      </c>
      <c r="C119" s="72" t="s">
        <v>59</v>
      </c>
      <c r="D119" s="73" t="s">
        <v>60</v>
      </c>
      <c r="E119" s="73" t="s">
        <v>684</v>
      </c>
      <c r="F119" s="72" t="s">
        <v>598</v>
      </c>
      <c r="G119" s="165"/>
    </row>
    <row r="120" spans="2:7" ht="17.25" customHeight="1">
      <c r="B120" s="105" t="s">
        <v>760</v>
      </c>
      <c r="C120" s="72" t="s">
        <v>62</v>
      </c>
      <c r="D120" s="73" t="s">
        <v>17</v>
      </c>
      <c r="E120" s="73" t="s">
        <v>15</v>
      </c>
      <c r="F120" s="72" t="s">
        <v>599</v>
      </c>
      <c r="G120" s="165"/>
    </row>
    <row r="121" spans="2:7" ht="17.25" customHeight="1">
      <c r="B121" s="105" t="s">
        <v>632</v>
      </c>
      <c r="C121" s="72" t="s">
        <v>600</v>
      </c>
      <c r="D121" s="73" t="s">
        <v>17</v>
      </c>
      <c r="E121" s="73" t="s">
        <v>15</v>
      </c>
      <c r="F121" s="72" t="s">
        <v>65</v>
      </c>
      <c r="G121" s="165"/>
    </row>
    <row r="122" spans="2:7" ht="17.25" customHeight="1">
      <c r="B122" s="105" t="s">
        <v>633</v>
      </c>
      <c r="C122" s="72" t="s">
        <v>601</v>
      </c>
      <c r="D122" s="73" t="s">
        <v>17</v>
      </c>
      <c r="E122" s="73" t="s">
        <v>67</v>
      </c>
      <c r="F122" s="72" t="s">
        <v>602</v>
      </c>
      <c r="G122" s="165"/>
    </row>
    <row r="123" spans="2:7" ht="17.25" customHeight="1">
      <c r="B123" s="105" t="s">
        <v>634</v>
      </c>
      <c r="C123" s="72" t="s">
        <v>603</v>
      </c>
      <c r="D123" s="73" t="s">
        <v>17</v>
      </c>
      <c r="E123" s="73" t="s">
        <v>67</v>
      </c>
      <c r="F123" s="72" t="s">
        <v>604</v>
      </c>
      <c r="G123" s="165"/>
    </row>
    <row r="124" spans="2:7" ht="17.25" customHeight="1">
      <c r="B124" s="105" t="s">
        <v>635</v>
      </c>
      <c r="C124" s="72" t="s">
        <v>605</v>
      </c>
      <c r="D124" s="73" t="s">
        <v>17</v>
      </c>
      <c r="E124" s="73" t="s">
        <v>67</v>
      </c>
      <c r="F124" s="72" t="s">
        <v>606</v>
      </c>
      <c r="G124" s="165"/>
    </row>
    <row r="125" spans="2:7" ht="17.25" customHeight="1">
      <c r="B125" s="105" t="s">
        <v>636</v>
      </c>
      <c r="C125" s="72" t="s">
        <v>77</v>
      </c>
      <c r="D125" s="73" t="s">
        <v>17</v>
      </c>
      <c r="E125" s="73" t="s">
        <v>67</v>
      </c>
      <c r="F125" s="72" t="s">
        <v>607</v>
      </c>
      <c r="G125" s="165"/>
    </row>
    <row r="126" spans="2:7" ht="17.25" customHeight="1">
      <c r="B126" s="105" t="s">
        <v>637</v>
      </c>
      <c r="C126" s="72" t="s">
        <v>82</v>
      </c>
      <c r="D126" s="73" t="s">
        <v>60</v>
      </c>
      <c r="E126" s="73" t="s">
        <v>67</v>
      </c>
      <c r="F126" s="72" t="s">
        <v>608</v>
      </c>
      <c r="G126" s="165"/>
    </row>
    <row r="127" spans="2:7" ht="17.25" customHeight="1">
      <c r="B127" s="105" t="s">
        <v>708</v>
      </c>
      <c r="C127" s="72" t="s">
        <v>609</v>
      </c>
      <c r="D127" s="73" t="s">
        <v>17</v>
      </c>
      <c r="E127" s="73" t="s">
        <v>67</v>
      </c>
      <c r="F127" s="72" t="s">
        <v>610</v>
      </c>
      <c r="G127" s="165"/>
    </row>
    <row r="128" spans="2:7" ht="17.25" customHeight="1">
      <c r="B128" s="105" t="s">
        <v>697</v>
      </c>
      <c r="C128" s="72" t="s">
        <v>696</v>
      </c>
      <c r="D128" s="73" t="s">
        <v>741</v>
      </c>
      <c r="E128" s="73" t="s">
        <v>67</v>
      </c>
      <c r="F128" s="72" t="s">
        <v>611</v>
      </c>
      <c r="G128" s="165"/>
    </row>
    <row r="129" spans="1:7" ht="17.25" customHeight="1">
      <c r="B129" s="105" t="s">
        <v>638</v>
      </c>
      <c r="C129" s="72" t="s">
        <v>89</v>
      </c>
      <c r="D129" s="73" t="s">
        <v>17</v>
      </c>
      <c r="E129" s="73" t="s">
        <v>67</v>
      </c>
      <c r="F129" s="72" t="s">
        <v>612</v>
      </c>
      <c r="G129" s="165"/>
    </row>
    <row r="130" spans="1:7" ht="17.25" customHeight="1">
      <c r="B130" s="105" t="s">
        <v>678</v>
      </c>
      <c r="C130" s="72" t="s">
        <v>91</v>
      </c>
      <c r="D130" s="73" t="s">
        <v>60</v>
      </c>
      <c r="E130" s="73" t="s">
        <v>67</v>
      </c>
      <c r="F130" s="72" t="s">
        <v>613</v>
      </c>
      <c r="G130" s="165"/>
    </row>
    <row r="131" spans="1:7" ht="17.25" customHeight="1">
      <c r="A131" t="s">
        <v>628</v>
      </c>
      <c r="B131" s="105" t="s">
        <v>639</v>
      </c>
      <c r="C131" s="72" t="s">
        <v>614</v>
      </c>
      <c r="D131" s="73" t="s">
        <v>17</v>
      </c>
      <c r="E131" s="73" t="s">
        <v>67</v>
      </c>
      <c r="F131" s="72" t="s">
        <v>615</v>
      </c>
      <c r="G131" s="165"/>
    </row>
    <row r="132" spans="1:7" ht="17.25" customHeight="1">
      <c r="B132" s="105" t="s">
        <v>640</v>
      </c>
      <c r="C132" s="72" t="s">
        <v>616</v>
      </c>
      <c r="D132" s="73" t="s">
        <v>17</v>
      </c>
      <c r="E132" s="73" t="s">
        <v>67</v>
      </c>
      <c r="F132" s="72" t="s">
        <v>617</v>
      </c>
      <c r="G132" s="165"/>
    </row>
    <row r="133" spans="1:7" ht="17.25" customHeight="1">
      <c r="B133" s="105" t="s">
        <v>680</v>
      </c>
      <c r="C133" s="72" t="s">
        <v>618</v>
      </c>
      <c r="D133" s="73" t="s">
        <v>17</v>
      </c>
      <c r="E133" s="73" t="s">
        <v>67</v>
      </c>
      <c r="F133" s="72" t="s">
        <v>619</v>
      </c>
      <c r="G133" s="165"/>
    </row>
    <row r="134" spans="1:7" ht="17.25" customHeight="1">
      <c r="B134" s="105" t="s">
        <v>677</v>
      </c>
      <c r="C134" s="72" t="s">
        <v>620</v>
      </c>
      <c r="D134" s="73" t="s">
        <v>17</v>
      </c>
      <c r="E134" s="73" t="s">
        <v>67</v>
      </c>
      <c r="F134" s="72" t="s">
        <v>621</v>
      </c>
      <c r="G134" s="165"/>
    </row>
    <row r="135" spans="1:7" ht="17.25" customHeight="1">
      <c r="B135" s="105" t="s">
        <v>679</v>
      </c>
      <c r="C135" s="72" t="s">
        <v>622</v>
      </c>
      <c r="D135" s="73" t="s">
        <v>60</v>
      </c>
      <c r="E135" s="73" t="s">
        <v>761</v>
      </c>
      <c r="F135" s="72" t="s">
        <v>623</v>
      </c>
      <c r="G135" s="165"/>
    </row>
    <row r="136" spans="1:7" ht="17.25" customHeight="1">
      <c r="B136" s="105" t="s">
        <v>681</v>
      </c>
      <c r="C136" s="72" t="s">
        <v>105</v>
      </c>
      <c r="D136" s="73" t="s">
        <v>17</v>
      </c>
      <c r="E136" s="73" t="s">
        <v>762</v>
      </c>
      <c r="F136" s="72" t="s">
        <v>624</v>
      </c>
      <c r="G136" s="165"/>
    </row>
    <row r="137" spans="1:7" ht="17.25" customHeight="1">
      <c r="B137" s="105" t="s">
        <v>682</v>
      </c>
      <c r="C137" s="72" t="s">
        <v>282</v>
      </c>
      <c r="D137" s="73" t="s">
        <v>17</v>
      </c>
      <c r="E137" s="73" t="s">
        <v>762</v>
      </c>
      <c r="F137" s="72" t="s">
        <v>625</v>
      </c>
      <c r="G137" s="165"/>
    </row>
    <row r="138" spans="1:7" ht="17.25" customHeight="1">
      <c r="B138" s="105" t="s">
        <v>747</v>
      </c>
      <c r="C138" s="72" t="s">
        <v>748</v>
      </c>
      <c r="D138" s="73" t="s">
        <v>740</v>
      </c>
      <c r="E138" s="73" t="s">
        <v>762</v>
      </c>
      <c r="F138" s="72" t="s">
        <v>627</v>
      </c>
      <c r="G138" s="165"/>
    </row>
    <row r="139" spans="1:7" ht="17.25" customHeight="1">
      <c r="B139" s="105" t="s">
        <v>711</v>
      </c>
      <c r="C139" s="72" t="s">
        <v>700</v>
      </c>
      <c r="D139" s="73" t="s">
        <v>14</v>
      </c>
      <c r="E139" s="73" t="s">
        <v>15</v>
      </c>
      <c r="F139" s="72" t="s">
        <v>730</v>
      </c>
      <c r="G139" s="165"/>
    </row>
    <row r="140" spans="1:7" ht="17.25" customHeight="1">
      <c r="B140" s="105" t="s">
        <v>709</v>
      </c>
      <c r="C140" s="72" t="s">
        <v>701</v>
      </c>
      <c r="D140" s="73" t="s">
        <v>17</v>
      </c>
      <c r="E140" s="73" t="s">
        <v>15</v>
      </c>
      <c r="F140" s="72" t="s">
        <v>705</v>
      </c>
      <c r="G140" s="165"/>
    </row>
    <row r="141" spans="1:7" ht="17.25" customHeight="1">
      <c r="B141" s="105" t="s">
        <v>710</v>
      </c>
      <c r="C141" s="72" t="s">
        <v>706</v>
      </c>
      <c r="D141" s="73" t="s">
        <v>14</v>
      </c>
      <c r="E141" s="73" t="s">
        <v>728</v>
      </c>
      <c r="F141" s="72" t="s">
        <v>727</v>
      </c>
      <c r="G141" s="165"/>
    </row>
    <row r="142" spans="1:7" ht="17.25" customHeight="1">
      <c r="B142" s="105" t="s">
        <v>455</v>
      </c>
      <c r="C142" s="72" t="s">
        <v>405</v>
      </c>
      <c r="D142" s="73" t="s">
        <v>159</v>
      </c>
      <c r="E142" s="73" t="s">
        <v>67</v>
      </c>
      <c r="F142" s="74" t="s">
        <v>772</v>
      </c>
      <c r="G142" s="165"/>
    </row>
    <row r="143" spans="1:7" ht="17.25" customHeight="1" thickBot="1">
      <c r="B143" s="130" t="s">
        <v>755</v>
      </c>
      <c r="C143" s="131" t="s">
        <v>758</v>
      </c>
      <c r="D143" s="132" t="s">
        <v>267</v>
      </c>
      <c r="E143" s="132" t="s">
        <v>395</v>
      </c>
      <c r="F143" s="131" t="s">
        <v>759</v>
      </c>
      <c r="G143" s="166"/>
    </row>
    <row r="144" spans="1:7" ht="17.25" customHeight="1">
      <c r="B144" s="185" t="s">
        <v>1</v>
      </c>
      <c r="C144" s="186"/>
      <c r="D144" s="186"/>
      <c r="E144" s="186"/>
      <c r="F144" s="186"/>
      <c r="G144" s="187"/>
    </row>
    <row r="145" spans="2:21" ht="17.25" customHeight="1">
      <c r="B145" s="19" t="s">
        <v>2</v>
      </c>
      <c r="C145" s="5" t="s">
        <v>3</v>
      </c>
      <c r="D145" s="5" t="s">
        <v>4</v>
      </c>
      <c r="E145" s="5" t="s">
        <v>20</v>
      </c>
      <c r="F145" s="5" t="s">
        <v>5</v>
      </c>
      <c r="G145" s="20" t="s">
        <v>7</v>
      </c>
    </row>
    <row r="146" spans="2:21" ht="17.25" customHeight="1">
      <c r="B146" s="105" t="s">
        <v>703</v>
      </c>
      <c r="C146" s="72" t="s">
        <v>700</v>
      </c>
      <c r="D146" s="73" t="s">
        <v>14</v>
      </c>
      <c r="E146" s="73" t="s">
        <v>15</v>
      </c>
      <c r="F146" s="72" t="s">
        <v>726</v>
      </c>
      <c r="G146" s="150" t="s">
        <v>764</v>
      </c>
    </row>
    <row r="147" spans="2:21" ht="17.25" customHeight="1">
      <c r="B147" s="105" t="s">
        <v>704</v>
      </c>
      <c r="C147" s="72" t="s">
        <v>701</v>
      </c>
      <c r="D147" s="73" t="s">
        <v>17</v>
      </c>
      <c r="E147" s="73" t="s">
        <v>15</v>
      </c>
      <c r="F147" s="72" t="s">
        <v>702</v>
      </c>
      <c r="G147" s="150"/>
    </row>
    <row r="148" spans="2:21" ht="17.25" customHeight="1">
      <c r="B148" s="105" t="s">
        <v>712</v>
      </c>
      <c r="C148" s="72" t="s">
        <v>166</v>
      </c>
      <c r="D148" s="73" t="s">
        <v>17</v>
      </c>
      <c r="E148" s="73" t="s">
        <v>15</v>
      </c>
      <c r="F148" s="72" t="s">
        <v>713</v>
      </c>
      <c r="G148" s="150"/>
    </row>
    <row r="149" spans="2:21" ht="17.25" customHeight="1">
      <c r="B149" s="105" t="s">
        <v>718</v>
      </c>
      <c r="C149" s="72" t="s">
        <v>714</v>
      </c>
      <c r="D149" s="73" t="s">
        <v>14</v>
      </c>
      <c r="E149" s="73" t="s">
        <v>15</v>
      </c>
      <c r="F149" s="72" t="s">
        <v>715</v>
      </c>
      <c r="G149" s="150"/>
    </row>
    <row r="150" spans="2:21" ht="17.25" customHeight="1">
      <c r="B150" s="105" t="s">
        <v>719</v>
      </c>
      <c r="C150" s="72" t="s">
        <v>716</v>
      </c>
      <c r="D150" s="73" t="s">
        <v>17</v>
      </c>
      <c r="E150" s="73" t="s">
        <v>15</v>
      </c>
      <c r="F150" s="72" t="s">
        <v>641</v>
      </c>
      <c r="G150" s="150"/>
    </row>
    <row r="151" spans="2:21" ht="17.25" customHeight="1">
      <c r="B151" s="105" t="s">
        <v>731</v>
      </c>
      <c r="C151" s="72" t="s">
        <v>717</v>
      </c>
      <c r="D151" s="73" t="s">
        <v>17</v>
      </c>
      <c r="E151" s="73" t="s">
        <v>15</v>
      </c>
      <c r="F151" s="72" t="s">
        <v>642</v>
      </c>
      <c r="G151" s="150"/>
    </row>
    <row r="152" spans="2:21" ht="17.25" customHeight="1">
      <c r="B152" s="105" t="s">
        <v>732</v>
      </c>
      <c r="C152" s="72" t="s">
        <v>426</v>
      </c>
      <c r="D152" s="73" t="s">
        <v>17</v>
      </c>
      <c r="E152" s="73" t="s">
        <v>15</v>
      </c>
      <c r="F152" s="72" t="s">
        <v>427</v>
      </c>
      <c r="G152" s="150"/>
    </row>
    <row r="153" spans="2:21" ht="17.25" customHeight="1">
      <c r="B153" s="105" t="s">
        <v>720</v>
      </c>
      <c r="C153" s="72" t="s">
        <v>428</v>
      </c>
      <c r="D153" s="73" t="s">
        <v>17</v>
      </c>
      <c r="E153" s="73" t="s">
        <v>15</v>
      </c>
      <c r="F153" s="72" t="s">
        <v>429</v>
      </c>
      <c r="G153" s="150"/>
    </row>
    <row r="154" spans="2:21" ht="17.25" customHeight="1" thickBot="1">
      <c r="B154" s="126" t="s">
        <v>707</v>
      </c>
      <c r="C154" s="75" t="s">
        <v>706</v>
      </c>
      <c r="D154" s="76" t="s">
        <v>14</v>
      </c>
      <c r="E154" s="76" t="s">
        <v>15</v>
      </c>
      <c r="F154" s="75" t="s">
        <v>724</v>
      </c>
      <c r="G154" s="151"/>
    </row>
    <row r="155" spans="2:21" ht="17.25" customHeight="1">
      <c r="B155" s="147" t="s">
        <v>335</v>
      </c>
      <c r="C155" s="148"/>
      <c r="D155" s="148"/>
      <c r="E155" s="148"/>
      <c r="F155" s="148"/>
      <c r="G155" s="149"/>
    </row>
    <row r="156" spans="2:21" ht="17.25" customHeight="1">
      <c r="B156" s="19" t="s">
        <v>2</v>
      </c>
      <c r="C156" s="5" t="s">
        <v>3</v>
      </c>
      <c r="D156" s="5" t="s">
        <v>4</v>
      </c>
      <c r="E156" s="5" t="s">
        <v>20</v>
      </c>
      <c r="F156" s="5" t="s">
        <v>22</v>
      </c>
      <c r="G156" s="20" t="s">
        <v>7</v>
      </c>
    </row>
    <row r="157" spans="2:21" ht="17.25" customHeight="1">
      <c r="B157" s="86" t="s">
        <v>13</v>
      </c>
      <c r="C157" s="72" t="s">
        <v>56</v>
      </c>
      <c r="D157" s="73" t="s">
        <v>17</v>
      </c>
      <c r="E157" s="73" t="s">
        <v>15</v>
      </c>
      <c r="F157" s="74" t="s">
        <v>326</v>
      </c>
      <c r="G157" s="150" t="s">
        <v>736</v>
      </c>
    </row>
    <row r="158" spans="2:21" ht="17.25" customHeight="1">
      <c r="B158" s="127" t="s">
        <v>766</v>
      </c>
      <c r="C158" s="72"/>
      <c r="D158" s="73"/>
      <c r="E158" s="73"/>
      <c r="F158" s="74"/>
      <c r="G158" s="150"/>
      <c r="P158" s="8"/>
      <c r="Q158" s="8"/>
      <c r="R158" s="8"/>
      <c r="S158" s="8"/>
      <c r="T158" s="8"/>
      <c r="U158" s="8"/>
    </row>
    <row r="159" spans="2:21" ht="17.25" customHeight="1">
      <c r="B159" s="105" t="s">
        <v>704</v>
      </c>
      <c r="C159" s="72" t="s">
        <v>701</v>
      </c>
      <c r="D159" s="73" t="s">
        <v>17</v>
      </c>
      <c r="E159" s="73" t="s">
        <v>15</v>
      </c>
      <c r="F159" s="72" t="s">
        <v>702</v>
      </c>
      <c r="G159" s="150"/>
      <c r="M159" s="8"/>
      <c r="N159" s="8"/>
      <c r="O159" s="8"/>
      <c r="P159" s="8"/>
      <c r="Q159" s="8"/>
      <c r="R159" s="8"/>
      <c r="S159" s="3"/>
      <c r="T159" s="3"/>
      <c r="U159" s="3"/>
    </row>
    <row r="160" spans="2:21" ht="17.25" customHeight="1">
      <c r="B160" s="105" t="s">
        <v>712</v>
      </c>
      <c r="C160" s="72" t="s">
        <v>166</v>
      </c>
      <c r="D160" s="73" t="s">
        <v>17</v>
      </c>
      <c r="E160" s="73" t="s">
        <v>15</v>
      </c>
      <c r="F160" s="72" t="s">
        <v>713</v>
      </c>
      <c r="G160" s="150"/>
      <c r="M160" s="3"/>
      <c r="N160" s="3"/>
      <c r="O160" s="3"/>
      <c r="P160" s="3"/>
      <c r="Q160" s="3"/>
      <c r="R160" s="3"/>
      <c r="S160" s="3"/>
      <c r="T160" s="3"/>
      <c r="U160" s="3"/>
    </row>
    <row r="161" spans="2:21" ht="17.25" customHeight="1">
      <c r="B161" s="105" t="s">
        <v>445</v>
      </c>
      <c r="C161" s="72" t="s">
        <v>714</v>
      </c>
      <c r="D161" s="73" t="s">
        <v>14</v>
      </c>
      <c r="E161" s="73" t="s">
        <v>15</v>
      </c>
      <c r="F161" s="72" t="s">
        <v>715</v>
      </c>
      <c r="G161" s="150"/>
      <c r="M161" s="3"/>
      <c r="N161" s="3"/>
      <c r="O161" s="3"/>
      <c r="P161" s="3"/>
      <c r="Q161" s="3"/>
      <c r="R161" s="3"/>
      <c r="S161" s="3"/>
      <c r="T161" s="3"/>
      <c r="U161" s="3"/>
    </row>
    <row r="162" spans="2:21" ht="17.25" customHeight="1">
      <c r="B162" s="105" t="s">
        <v>643</v>
      </c>
      <c r="C162" s="72" t="s">
        <v>716</v>
      </c>
      <c r="D162" s="73" t="s">
        <v>17</v>
      </c>
      <c r="E162" s="73" t="s">
        <v>15</v>
      </c>
      <c r="F162" s="72" t="s">
        <v>641</v>
      </c>
      <c r="G162" s="150"/>
      <c r="M162" s="3"/>
      <c r="N162" s="3"/>
      <c r="O162" s="3"/>
      <c r="P162" s="3"/>
      <c r="Q162" s="3"/>
      <c r="R162" s="3"/>
      <c r="S162" s="3"/>
      <c r="T162" s="3"/>
      <c r="U162" s="3"/>
    </row>
    <row r="163" spans="2:21" ht="17.25" customHeight="1">
      <c r="B163" s="105" t="s">
        <v>733</v>
      </c>
      <c r="C163" s="72" t="s">
        <v>717</v>
      </c>
      <c r="D163" s="73" t="s">
        <v>17</v>
      </c>
      <c r="E163" s="73" t="s">
        <v>15</v>
      </c>
      <c r="F163" s="72" t="s">
        <v>642</v>
      </c>
      <c r="G163" s="150"/>
      <c r="M163" s="3"/>
      <c r="N163" s="3"/>
      <c r="O163" s="3"/>
      <c r="P163" s="3"/>
      <c r="Q163" s="3"/>
      <c r="R163" s="3"/>
      <c r="S163" s="3"/>
      <c r="T163" s="3"/>
      <c r="U163" s="3"/>
    </row>
    <row r="164" spans="2:21" ht="17.25" customHeight="1">
      <c r="B164" s="105" t="s">
        <v>734</v>
      </c>
      <c r="C164" s="72" t="s">
        <v>426</v>
      </c>
      <c r="D164" s="73" t="s">
        <v>17</v>
      </c>
      <c r="E164" s="73" t="s">
        <v>15</v>
      </c>
      <c r="F164" s="72" t="s">
        <v>427</v>
      </c>
      <c r="G164" s="150"/>
      <c r="M164" s="3"/>
      <c r="N164" s="3"/>
      <c r="O164" s="3"/>
      <c r="P164" s="3"/>
      <c r="Q164" s="3"/>
      <c r="R164" s="3"/>
      <c r="S164" s="3"/>
      <c r="T164" s="3"/>
      <c r="U164" s="3"/>
    </row>
    <row r="165" spans="2:21" ht="17.25" customHeight="1">
      <c r="B165" s="105" t="s">
        <v>722</v>
      </c>
      <c r="C165" s="72" t="s">
        <v>428</v>
      </c>
      <c r="D165" s="73" t="s">
        <v>17</v>
      </c>
      <c r="E165" s="73" t="s">
        <v>15</v>
      </c>
      <c r="F165" s="72" t="s">
        <v>429</v>
      </c>
      <c r="G165" s="150"/>
      <c r="M165" s="3"/>
      <c r="N165" s="3"/>
      <c r="O165" s="3"/>
      <c r="P165" s="3"/>
      <c r="Q165" s="3"/>
      <c r="R165" s="3"/>
      <c r="S165" s="3"/>
      <c r="T165" s="3"/>
      <c r="U165" s="3"/>
    </row>
    <row r="166" spans="2:21" ht="17.25" customHeight="1">
      <c r="B166" s="215" t="s">
        <v>767</v>
      </c>
      <c r="C166" s="216"/>
      <c r="D166" s="217"/>
      <c r="E166" s="217"/>
      <c r="F166" s="218"/>
      <c r="G166" s="150"/>
      <c r="M166" s="3"/>
      <c r="N166" s="3"/>
      <c r="O166" s="3"/>
      <c r="P166" s="3"/>
      <c r="Q166" s="3"/>
      <c r="R166" s="3"/>
      <c r="S166" s="3"/>
      <c r="T166" s="3"/>
      <c r="U166" s="3"/>
    </row>
    <row r="167" spans="2:21" ht="17.25" customHeight="1">
      <c r="B167" s="219" t="s">
        <v>704</v>
      </c>
      <c r="C167" s="216" t="s">
        <v>701</v>
      </c>
      <c r="D167" s="217" t="s">
        <v>17</v>
      </c>
      <c r="E167" s="217" t="s">
        <v>15</v>
      </c>
      <c r="F167" s="216" t="s">
        <v>702</v>
      </c>
      <c r="G167" s="150"/>
      <c r="M167" s="3"/>
      <c r="N167" s="3"/>
      <c r="O167" s="3"/>
      <c r="P167" s="3"/>
      <c r="Q167" s="3"/>
      <c r="R167" s="3"/>
      <c r="S167" s="3"/>
      <c r="T167" s="3"/>
      <c r="U167" s="3"/>
    </row>
    <row r="168" spans="2:21" ht="17.25" customHeight="1">
      <c r="B168" s="219" t="s">
        <v>771</v>
      </c>
      <c r="C168" s="216"/>
      <c r="D168" s="217"/>
      <c r="E168" s="217"/>
      <c r="F168" s="216"/>
      <c r="G168" s="150"/>
      <c r="M168" s="3"/>
      <c r="N168" s="3"/>
      <c r="O168" s="3"/>
      <c r="P168" s="3"/>
      <c r="Q168" s="3"/>
      <c r="R168" s="3"/>
      <c r="S168" s="3"/>
      <c r="T168" s="3"/>
      <c r="U168" s="3"/>
    </row>
    <row r="169" spans="2:21" ht="17.25" customHeight="1">
      <c r="B169" s="219" t="s">
        <v>768</v>
      </c>
      <c r="C169" s="216" t="s">
        <v>769</v>
      </c>
      <c r="D169" s="217" t="s">
        <v>17</v>
      </c>
      <c r="E169" s="217" t="s">
        <v>761</v>
      </c>
      <c r="F169" s="216" t="s">
        <v>770</v>
      </c>
      <c r="G169" s="150"/>
      <c r="M169" s="3"/>
      <c r="N169" s="3"/>
      <c r="O169" s="3"/>
      <c r="P169" s="3"/>
      <c r="Q169" s="3"/>
      <c r="R169" s="3"/>
      <c r="S169" s="3"/>
      <c r="T169" s="3"/>
      <c r="U169" s="3"/>
    </row>
    <row r="170" spans="2:21" ht="16.75" customHeight="1">
      <c r="B170" s="127" t="s">
        <v>721</v>
      </c>
      <c r="C170" s="72"/>
      <c r="D170" s="73"/>
      <c r="E170" s="73"/>
      <c r="F170" s="74"/>
      <c r="G170" s="150"/>
    </row>
    <row r="171" spans="2:21" ht="17.25" customHeight="1" thickBot="1">
      <c r="B171" s="87" t="s">
        <v>483</v>
      </c>
      <c r="C171" s="75" t="s">
        <v>484</v>
      </c>
      <c r="D171" s="76" t="s">
        <v>17</v>
      </c>
      <c r="E171" s="76" t="s">
        <v>15</v>
      </c>
      <c r="F171" s="75" t="s">
        <v>485</v>
      </c>
      <c r="G171" s="151"/>
    </row>
    <row r="172" spans="2:21" ht="17.25" customHeight="1">
      <c r="B172" s="110"/>
      <c r="C172" s="111"/>
      <c r="D172" s="112"/>
      <c r="E172" s="112"/>
      <c r="F172" s="110"/>
      <c r="G172" s="109"/>
    </row>
    <row r="173" spans="2:21" ht="17.25" hidden="1" customHeight="1">
      <c r="B173" s="79" t="s">
        <v>256</v>
      </c>
      <c r="C173" s="152" t="s">
        <v>665</v>
      </c>
      <c r="D173" s="153"/>
      <c r="E173" s="153"/>
      <c r="F173" s="153"/>
      <c r="G173" s="154"/>
    </row>
    <row r="174" spans="2:21" ht="17.25" hidden="1" customHeight="1">
      <c r="B174" s="80" t="s">
        <v>44</v>
      </c>
      <c r="C174" s="155" t="s">
        <v>667</v>
      </c>
      <c r="D174" s="156"/>
      <c r="E174" s="156"/>
      <c r="F174" s="156"/>
      <c r="G174" s="157"/>
    </row>
    <row r="175" spans="2:21" ht="17.25" hidden="1" customHeight="1" thickBot="1">
      <c r="B175" s="99" t="s">
        <v>52</v>
      </c>
      <c r="C175" s="158" t="s">
        <v>655</v>
      </c>
      <c r="D175" s="159"/>
      <c r="E175" s="159"/>
      <c r="F175" s="159"/>
      <c r="G175" s="160"/>
    </row>
    <row r="176" spans="2:21" ht="17.25" hidden="1" customHeight="1">
      <c r="B176" s="161" t="s">
        <v>0</v>
      </c>
      <c r="C176" s="162"/>
      <c r="D176" s="162"/>
      <c r="E176" s="162"/>
      <c r="F176" s="162"/>
      <c r="G176" s="163"/>
    </row>
    <row r="177" spans="2:7" ht="17.25" hidden="1" customHeight="1">
      <c r="B177" s="17" t="s">
        <v>2</v>
      </c>
      <c r="C177" s="4" t="s">
        <v>3</v>
      </c>
      <c r="D177" s="4" t="s">
        <v>4</v>
      </c>
      <c r="E177" s="4" t="s">
        <v>20</v>
      </c>
      <c r="F177" s="4" t="s">
        <v>5</v>
      </c>
      <c r="G177" s="18" t="s">
        <v>6</v>
      </c>
    </row>
    <row r="178" spans="2:7" ht="17.25" hidden="1" customHeight="1" thickBot="1">
      <c r="B178" s="105" t="s">
        <v>13</v>
      </c>
      <c r="C178" s="72" t="s">
        <v>56</v>
      </c>
      <c r="D178" s="73" t="s">
        <v>60</v>
      </c>
      <c r="E178" s="73" t="s">
        <v>15</v>
      </c>
      <c r="F178" s="72" t="s">
        <v>488</v>
      </c>
      <c r="G178" s="94"/>
    </row>
    <row r="179" spans="2:7" ht="17.25" hidden="1" customHeight="1">
      <c r="B179" s="147" t="s">
        <v>1</v>
      </c>
      <c r="C179" s="148"/>
      <c r="D179" s="148"/>
      <c r="E179" s="148"/>
      <c r="F179" s="148"/>
      <c r="G179" s="149"/>
    </row>
    <row r="180" spans="2:7" ht="17.25" hidden="1" customHeight="1">
      <c r="B180" s="19" t="s">
        <v>2</v>
      </c>
      <c r="C180" s="5" t="s">
        <v>3</v>
      </c>
      <c r="D180" s="5" t="s">
        <v>4</v>
      </c>
      <c r="E180" s="5" t="s">
        <v>20</v>
      </c>
      <c r="F180" s="5" t="s">
        <v>22</v>
      </c>
      <c r="G180" s="20" t="s">
        <v>7</v>
      </c>
    </row>
    <row r="181" spans="2:7" ht="17.25" hidden="1" customHeight="1" thickBot="1">
      <c r="B181" s="87" t="s">
        <v>16</v>
      </c>
      <c r="C181" s="75" t="s">
        <v>111</v>
      </c>
      <c r="D181" s="76" t="s">
        <v>17</v>
      </c>
      <c r="E181" s="76" t="s">
        <v>15</v>
      </c>
      <c r="F181" s="77" t="s">
        <v>670</v>
      </c>
      <c r="G181" s="95"/>
    </row>
    <row r="182" spans="2:7" ht="17.25" hidden="1" customHeight="1" thickBot="1">
      <c r="B182" s="110"/>
      <c r="C182" s="111"/>
      <c r="D182" s="112"/>
      <c r="E182" s="112"/>
      <c r="F182" s="110"/>
      <c r="G182" s="109"/>
    </row>
    <row r="183" spans="2:7" ht="17.25" hidden="1" customHeight="1">
      <c r="B183" s="79" t="s">
        <v>256</v>
      </c>
      <c r="C183" s="152" t="s">
        <v>658</v>
      </c>
      <c r="D183" s="153"/>
      <c r="E183" s="153"/>
      <c r="F183" s="153"/>
      <c r="G183" s="154"/>
    </row>
    <row r="184" spans="2:7" ht="17.25" hidden="1" customHeight="1">
      <c r="B184" s="80" t="s">
        <v>44</v>
      </c>
      <c r="C184" s="142" t="s">
        <v>644</v>
      </c>
      <c r="D184" s="142"/>
      <c r="E184" s="142"/>
      <c r="F184" s="142"/>
      <c r="G184" s="174"/>
    </row>
    <row r="185" spans="2:7" ht="17.25" hidden="1" customHeight="1" thickBot="1">
      <c r="B185" s="81" t="s">
        <v>52</v>
      </c>
      <c r="C185" s="175"/>
      <c r="D185" s="175"/>
      <c r="E185" s="175"/>
      <c r="F185" s="175"/>
      <c r="G185" s="176"/>
    </row>
    <row r="186" spans="2:7" ht="17.25" hidden="1" customHeight="1">
      <c r="B186" s="177" t="s">
        <v>271</v>
      </c>
      <c r="C186" s="178"/>
      <c r="D186" s="178"/>
      <c r="E186" s="178"/>
      <c r="F186" s="178"/>
      <c r="G186" s="179"/>
    </row>
    <row r="187" spans="2:7" ht="17.25" hidden="1" customHeight="1">
      <c r="B187" s="17" t="s">
        <v>2</v>
      </c>
      <c r="C187" s="4" t="s">
        <v>3</v>
      </c>
      <c r="D187" s="4" t="s">
        <v>4</v>
      </c>
      <c r="E187" s="4" t="s">
        <v>20</v>
      </c>
      <c r="F187" s="4" t="s">
        <v>5</v>
      </c>
      <c r="G187" s="18" t="s">
        <v>6</v>
      </c>
    </row>
    <row r="188" spans="2:7" ht="17.25" hidden="1" customHeight="1" thickBot="1">
      <c r="B188" s="100" t="s">
        <v>530</v>
      </c>
      <c r="C188" s="104" t="s">
        <v>498</v>
      </c>
      <c r="D188" s="102" t="s">
        <v>267</v>
      </c>
      <c r="E188" s="102" t="s">
        <v>269</v>
      </c>
      <c r="F188" s="104" t="s">
        <v>531</v>
      </c>
      <c r="G188" s="98"/>
    </row>
    <row r="189" spans="2:7" ht="17.25" hidden="1" customHeight="1">
      <c r="B189" s="147" t="s">
        <v>1</v>
      </c>
      <c r="C189" s="148"/>
      <c r="D189" s="148"/>
      <c r="E189" s="148"/>
      <c r="F189" s="148"/>
      <c r="G189" s="149"/>
    </row>
    <row r="190" spans="2:7" ht="17.25" hidden="1" customHeight="1">
      <c r="B190" s="19" t="s">
        <v>2</v>
      </c>
      <c r="C190" s="5" t="s">
        <v>3</v>
      </c>
      <c r="D190" s="5" t="s">
        <v>4</v>
      </c>
      <c r="E190" s="5" t="s">
        <v>20</v>
      </c>
      <c r="F190" s="5" t="s">
        <v>5</v>
      </c>
      <c r="G190" s="20" t="s">
        <v>7</v>
      </c>
    </row>
    <row r="191" spans="2:7" ht="17.25" hidden="1" customHeight="1">
      <c r="B191" s="105" t="s">
        <v>36</v>
      </c>
      <c r="C191" s="72" t="s">
        <v>567</v>
      </c>
      <c r="D191" s="73" t="s">
        <v>17</v>
      </c>
      <c r="E191" s="73" t="s">
        <v>15</v>
      </c>
      <c r="F191" s="72" t="s">
        <v>568</v>
      </c>
      <c r="G191" s="150" t="s">
        <v>573</v>
      </c>
    </row>
    <row r="192" spans="2:7" ht="17.25" hidden="1" customHeight="1">
      <c r="B192" s="105" t="s">
        <v>561</v>
      </c>
      <c r="C192" s="72" t="s">
        <v>569</v>
      </c>
      <c r="D192" s="73" t="s">
        <v>136</v>
      </c>
      <c r="E192" s="73" t="s">
        <v>15</v>
      </c>
      <c r="F192" s="72" t="s">
        <v>570</v>
      </c>
      <c r="G192" s="150"/>
    </row>
    <row r="193" spans="2:7" ht="17.25" hidden="1" customHeight="1">
      <c r="B193" s="105" t="s">
        <v>564</v>
      </c>
      <c r="C193" s="72" t="s">
        <v>565</v>
      </c>
      <c r="D193" s="73" t="s">
        <v>17</v>
      </c>
      <c r="E193" s="73" t="s">
        <v>15</v>
      </c>
      <c r="F193" s="72" t="s">
        <v>571</v>
      </c>
      <c r="G193" s="150"/>
    </row>
    <row r="194" spans="2:7" ht="17.25" hidden="1" customHeight="1" thickBot="1">
      <c r="B194" s="87" t="s">
        <v>533</v>
      </c>
      <c r="C194" s="75" t="s">
        <v>534</v>
      </c>
      <c r="D194" s="76" t="s">
        <v>535</v>
      </c>
      <c r="E194" s="76" t="s">
        <v>269</v>
      </c>
      <c r="F194" s="77" t="s">
        <v>536</v>
      </c>
      <c r="G194" s="151"/>
    </row>
    <row r="195" spans="2:7" ht="17.25" hidden="1" customHeight="1" thickBot="1"/>
    <row r="196" spans="2:7" ht="17.25" hidden="1" customHeight="1">
      <c r="B196" s="79" t="s">
        <v>256</v>
      </c>
      <c r="C196" s="167" t="s">
        <v>659</v>
      </c>
      <c r="D196" s="167"/>
      <c r="E196" s="167"/>
      <c r="F196" s="167"/>
      <c r="G196" s="168"/>
    </row>
    <row r="197" spans="2:7" ht="17.25" hidden="1" customHeight="1">
      <c r="B197" s="80" t="s">
        <v>44</v>
      </c>
      <c r="C197" s="142" t="s">
        <v>551</v>
      </c>
      <c r="D197" s="142"/>
      <c r="E197" s="142"/>
      <c r="F197" s="142"/>
      <c r="G197" s="174"/>
    </row>
    <row r="198" spans="2:7" ht="17.25" hidden="1" customHeight="1" thickBot="1">
      <c r="B198" s="81" t="s">
        <v>52</v>
      </c>
      <c r="C198" s="175"/>
      <c r="D198" s="175"/>
      <c r="E198" s="175"/>
      <c r="F198" s="175"/>
      <c r="G198" s="176"/>
    </row>
    <row r="199" spans="2:7" ht="17.25" hidden="1" customHeight="1">
      <c r="B199" s="177" t="s">
        <v>271</v>
      </c>
      <c r="C199" s="178"/>
      <c r="D199" s="178"/>
      <c r="E199" s="178"/>
      <c r="F199" s="178"/>
      <c r="G199" s="179"/>
    </row>
    <row r="200" spans="2:7" ht="17.25" hidden="1" customHeight="1">
      <c r="B200" s="17" t="s">
        <v>2</v>
      </c>
      <c r="C200" s="4" t="s">
        <v>3</v>
      </c>
      <c r="D200" s="4" t="s">
        <v>4</v>
      </c>
      <c r="E200" s="4" t="s">
        <v>20</v>
      </c>
      <c r="F200" s="4" t="s">
        <v>5</v>
      </c>
      <c r="G200" s="18" t="s">
        <v>6</v>
      </c>
    </row>
    <row r="201" spans="2:7" ht="17.25" hidden="1" customHeight="1" thickBot="1">
      <c r="B201" s="100" t="s">
        <v>530</v>
      </c>
      <c r="C201" s="104" t="s">
        <v>498</v>
      </c>
      <c r="D201" s="102" t="s">
        <v>267</v>
      </c>
      <c r="E201" s="102" t="s">
        <v>269</v>
      </c>
      <c r="F201" s="104" t="s">
        <v>531</v>
      </c>
      <c r="G201" s="98"/>
    </row>
    <row r="202" spans="2:7" ht="17.25" hidden="1" customHeight="1">
      <c r="B202" s="147" t="s">
        <v>1</v>
      </c>
      <c r="C202" s="148"/>
      <c r="D202" s="148"/>
      <c r="E202" s="148"/>
      <c r="F202" s="148"/>
      <c r="G202" s="149"/>
    </row>
    <row r="203" spans="2:7" ht="17.25" hidden="1" customHeight="1">
      <c r="B203" s="19" t="s">
        <v>2</v>
      </c>
      <c r="C203" s="5" t="s">
        <v>3</v>
      </c>
      <c r="D203" s="5" t="s">
        <v>4</v>
      </c>
      <c r="E203" s="5" t="s">
        <v>20</v>
      </c>
      <c r="F203" s="5" t="s">
        <v>5</v>
      </c>
      <c r="G203" s="20" t="s">
        <v>7</v>
      </c>
    </row>
    <row r="204" spans="2:7" ht="17.25" hidden="1" customHeight="1">
      <c r="B204" s="105" t="s">
        <v>558</v>
      </c>
      <c r="C204" s="72" t="s">
        <v>559</v>
      </c>
      <c r="D204" s="73" t="s">
        <v>17</v>
      </c>
      <c r="E204" s="73" t="s">
        <v>15</v>
      </c>
      <c r="F204" s="72" t="s">
        <v>560</v>
      </c>
      <c r="G204" s="150" t="s">
        <v>557</v>
      </c>
    </row>
    <row r="205" spans="2:7" ht="17.25" hidden="1" customHeight="1">
      <c r="B205" s="105" t="s">
        <v>561</v>
      </c>
      <c r="C205" s="72" t="s">
        <v>562</v>
      </c>
      <c r="D205" s="73" t="s">
        <v>136</v>
      </c>
      <c r="E205" s="73" t="s">
        <v>15</v>
      </c>
      <c r="F205" s="72" t="s">
        <v>563</v>
      </c>
      <c r="G205" s="150"/>
    </row>
    <row r="206" spans="2:7" ht="17.25" hidden="1" customHeight="1">
      <c r="B206" s="105" t="s">
        <v>564</v>
      </c>
      <c r="C206" s="72" t="s">
        <v>565</v>
      </c>
      <c r="D206" s="73" t="s">
        <v>17</v>
      </c>
      <c r="E206" s="73" t="s">
        <v>15</v>
      </c>
      <c r="F206" s="72" t="s">
        <v>566</v>
      </c>
      <c r="G206" s="150"/>
    </row>
    <row r="207" spans="2:7" ht="17.25" hidden="1" customHeight="1" thickBot="1">
      <c r="B207" s="87" t="s">
        <v>533</v>
      </c>
      <c r="C207" s="75" t="s">
        <v>556</v>
      </c>
      <c r="D207" s="76" t="s">
        <v>535</v>
      </c>
      <c r="E207" s="76" t="s">
        <v>269</v>
      </c>
      <c r="F207" s="77" t="s">
        <v>555</v>
      </c>
      <c r="G207" s="151"/>
    </row>
    <row r="208" spans="2:7" ht="17.25" hidden="1" customHeight="1">
      <c r="B208" s="110"/>
      <c r="C208" s="111"/>
      <c r="D208" s="112"/>
      <c r="E208" s="112"/>
      <c r="F208" s="110"/>
      <c r="G208" s="109"/>
    </row>
    <row r="209" spans="1:7" ht="18" hidden="1" thickBot="1">
      <c r="B209" s="113"/>
      <c r="C209" s="114"/>
      <c r="D209" s="115"/>
      <c r="E209" s="115"/>
      <c r="F209" s="113"/>
      <c r="G209" s="114"/>
    </row>
    <row r="210" spans="1:7" hidden="1">
      <c r="B210" s="79" t="s">
        <v>256</v>
      </c>
      <c r="C210" s="167" t="s">
        <v>461</v>
      </c>
      <c r="D210" s="167"/>
      <c r="E210" s="167"/>
      <c r="F210" s="167"/>
      <c r="G210" s="168"/>
    </row>
    <row r="211" spans="1:7" hidden="1">
      <c r="B211" s="80" t="s">
        <v>44</v>
      </c>
      <c r="C211" s="142" t="s">
        <v>393</v>
      </c>
      <c r="D211" s="142"/>
      <c r="E211" s="142"/>
      <c r="F211" s="142"/>
      <c r="G211" s="174"/>
    </row>
    <row r="212" spans="1:7" ht="18" hidden="1" thickBot="1">
      <c r="B212" s="81" t="s">
        <v>52</v>
      </c>
      <c r="C212" s="175" t="s">
        <v>514</v>
      </c>
      <c r="D212" s="175"/>
      <c r="E212" s="175"/>
      <c r="F212" s="175"/>
      <c r="G212" s="176"/>
    </row>
    <row r="213" spans="1:7" hidden="1">
      <c r="B213" s="177" t="s">
        <v>271</v>
      </c>
      <c r="C213" s="178"/>
      <c r="D213" s="178"/>
      <c r="E213" s="178"/>
      <c r="F213" s="178"/>
      <c r="G213" s="179"/>
    </row>
    <row r="214" spans="1:7" hidden="1">
      <c r="B214" s="17" t="s">
        <v>2</v>
      </c>
      <c r="C214" s="4" t="s">
        <v>3</v>
      </c>
      <c r="D214" s="4" t="s">
        <v>4</v>
      </c>
      <c r="E214" s="4" t="s">
        <v>20</v>
      </c>
      <c r="F214" s="4" t="s">
        <v>381</v>
      </c>
      <c r="G214" s="18" t="s">
        <v>6</v>
      </c>
    </row>
    <row r="215" spans="1:7" hidden="1">
      <c r="B215" s="86" t="s">
        <v>13</v>
      </c>
      <c r="C215" s="72" t="s">
        <v>268</v>
      </c>
      <c r="D215" s="73" t="s">
        <v>270</v>
      </c>
      <c r="E215" s="73" t="s">
        <v>269</v>
      </c>
      <c r="F215" s="71" t="s">
        <v>488</v>
      </c>
      <c r="G215" s="150" t="s">
        <v>515</v>
      </c>
    </row>
    <row r="216" spans="1:7" hidden="1">
      <c r="B216" s="86" t="s">
        <v>454</v>
      </c>
      <c r="C216" s="72" t="s">
        <v>404</v>
      </c>
      <c r="D216" s="73" t="s">
        <v>17</v>
      </c>
      <c r="E216" s="73" t="s">
        <v>15</v>
      </c>
      <c r="F216" s="74" t="s">
        <v>467</v>
      </c>
      <c r="G216" s="150"/>
    </row>
    <row r="217" spans="1:7" hidden="1">
      <c r="B217" s="86" t="s">
        <v>455</v>
      </c>
      <c r="C217" s="72" t="s">
        <v>405</v>
      </c>
      <c r="D217" s="73" t="s">
        <v>159</v>
      </c>
      <c r="E217" s="73" t="s">
        <v>67</v>
      </c>
      <c r="F217" s="74" t="s">
        <v>406</v>
      </c>
      <c r="G217" s="150"/>
    </row>
    <row r="218" spans="1:7" ht="16.5" hidden="1" customHeight="1">
      <c r="B218" s="100" t="s">
        <v>506</v>
      </c>
      <c r="C218" s="101" t="s">
        <v>407</v>
      </c>
      <c r="D218" s="102" t="s">
        <v>17</v>
      </c>
      <c r="E218" s="102" t="s">
        <v>67</v>
      </c>
      <c r="F218" s="103" t="s">
        <v>650</v>
      </c>
      <c r="G218" s="164"/>
    </row>
    <row r="219" spans="1:7" hidden="1">
      <c r="B219" s="100" t="s">
        <v>504</v>
      </c>
      <c r="C219" s="101" t="s">
        <v>518</v>
      </c>
      <c r="D219" s="102" t="s">
        <v>517</v>
      </c>
      <c r="E219" s="102" t="s">
        <v>522</v>
      </c>
      <c r="F219" s="103" t="s">
        <v>520</v>
      </c>
      <c r="G219" s="164"/>
    </row>
    <row r="220" spans="1:7" ht="15.75" hidden="1" customHeight="1" thickBot="1">
      <c r="B220" s="87" t="s">
        <v>505</v>
      </c>
      <c r="C220" s="75" t="s">
        <v>519</v>
      </c>
      <c r="D220" s="76" t="s">
        <v>517</v>
      </c>
      <c r="E220" s="76" t="s">
        <v>503</v>
      </c>
      <c r="F220" s="77" t="s">
        <v>521</v>
      </c>
      <c r="G220" s="151"/>
    </row>
    <row r="221" spans="1:7" hidden="1">
      <c r="B221" s="147" t="s">
        <v>1</v>
      </c>
      <c r="C221" s="148"/>
      <c r="D221" s="148"/>
      <c r="E221" s="148"/>
      <c r="F221" s="148"/>
      <c r="G221" s="149"/>
    </row>
    <row r="222" spans="1:7" hidden="1">
      <c r="B222" s="19" t="s">
        <v>2</v>
      </c>
      <c r="C222" s="5" t="s">
        <v>3</v>
      </c>
      <c r="D222" s="5" t="s">
        <v>4</v>
      </c>
      <c r="E222" s="5" t="s">
        <v>20</v>
      </c>
      <c r="F222" s="5" t="s">
        <v>5</v>
      </c>
      <c r="G222" s="20" t="s">
        <v>7</v>
      </c>
    </row>
    <row r="223" spans="1:7" hidden="1">
      <c r="A223" s="71"/>
      <c r="B223" s="86" t="s">
        <v>298</v>
      </c>
      <c r="C223" s="72" t="s">
        <v>408</v>
      </c>
      <c r="D223" s="73" t="s">
        <v>17</v>
      </c>
      <c r="E223" s="73" t="s">
        <v>15</v>
      </c>
      <c r="F223" s="74" t="s">
        <v>409</v>
      </c>
      <c r="G223" s="150" t="s">
        <v>516</v>
      </c>
    </row>
    <row r="224" spans="1:7" hidden="1">
      <c r="A224" s="71"/>
      <c r="B224" s="86" t="s">
        <v>410</v>
      </c>
      <c r="C224" s="72" t="s">
        <v>411</v>
      </c>
      <c r="D224" s="73" t="s">
        <v>17</v>
      </c>
      <c r="E224" s="73" t="s">
        <v>15</v>
      </c>
      <c r="F224" s="74" t="s">
        <v>412</v>
      </c>
      <c r="G224" s="150"/>
    </row>
    <row r="225" spans="1:7" hidden="1">
      <c r="A225" s="71"/>
      <c r="B225" s="86" t="s">
        <v>413</v>
      </c>
      <c r="C225" s="72" t="s">
        <v>414</v>
      </c>
      <c r="D225" s="73" t="s">
        <v>159</v>
      </c>
      <c r="E225" s="73" t="s">
        <v>15</v>
      </c>
      <c r="F225" s="74" t="s">
        <v>469</v>
      </c>
      <c r="G225" s="150"/>
    </row>
    <row r="226" spans="1:7" hidden="1">
      <c r="A226" s="71"/>
      <c r="B226" s="86" t="s">
        <v>415</v>
      </c>
      <c r="C226" s="72" t="s">
        <v>133</v>
      </c>
      <c r="D226" s="73" t="s">
        <v>60</v>
      </c>
      <c r="E226" s="73" t="s">
        <v>15</v>
      </c>
      <c r="F226" s="74" t="s">
        <v>468</v>
      </c>
      <c r="G226" s="150"/>
    </row>
    <row r="227" spans="1:7" hidden="1">
      <c r="A227" s="71"/>
      <c r="B227" s="86" t="s">
        <v>449</v>
      </c>
      <c r="C227" s="72" t="s">
        <v>416</v>
      </c>
      <c r="D227" s="73" t="s">
        <v>17</v>
      </c>
      <c r="E227" s="73" t="s">
        <v>15</v>
      </c>
      <c r="F227" s="74" t="s">
        <v>417</v>
      </c>
      <c r="G227" s="150"/>
    </row>
    <row r="228" spans="1:7" hidden="1">
      <c r="A228" s="71"/>
      <c r="B228" s="86" t="s">
        <v>441</v>
      </c>
      <c r="C228" s="72" t="s">
        <v>418</v>
      </c>
      <c r="D228" s="73" t="s">
        <v>136</v>
      </c>
      <c r="E228" s="73" t="s">
        <v>15</v>
      </c>
      <c r="F228" s="74" t="s">
        <v>301</v>
      </c>
      <c r="G228" s="150"/>
    </row>
    <row r="229" spans="1:7" hidden="1">
      <c r="A229" s="71"/>
      <c r="B229" s="86" t="s">
        <v>442</v>
      </c>
      <c r="C229" s="72" t="s">
        <v>277</v>
      </c>
      <c r="D229" s="73" t="s">
        <v>17</v>
      </c>
      <c r="E229" s="73" t="s">
        <v>15</v>
      </c>
      <c r="F229" s="74" t="s">
        <v>419</v>
      </c>
      <c r="G229" s="150"/>
    </row>
    <row r="230" spans="1:7" hidden="1">
      <c r="A230" s="71"/>
      <c r="B230" s="86" t="s">
        <v>443</v>
      </c>
      <c r="C230" s="72" t="s">
        <v>420</v>
      </c>
      <c r="D230" s="73" t="s">
        <v>17</v>
      </c>
      <c r="E230" s="73" t="s">
        <v>15</v>
      </c>
      <c r="F230" s="74" t="s">
        <v>421</v>
      </c>
      <c r="G230" s="150"/>
    </row>
    <row r="231" spans="1:7" hidden="1">
      <c r="A231" s="71"/>
      <c r="B231" s="86" t="s">
        <v>444</v>
      </c>
      <c r="C231" s="72" t="s">
        <v>422</v>
      </c>
      <c r="D231" s="73" t="s">
        <v>136</v>
      </c>
      <c r="E231" s="73" t="s">
        <v>15</v>
      </c>
      <c r="F231" s="74" t="s">
        <v>423</v>
      </c>
      <c r="G231" s="150"/>
    </row>
    <row r="232" spans="1:7" hidden="1">
      <c r="A232" s="71"/>
      <c r="B232" s="86" t="s">
        <v>445</v>
      </c>
      <c r="C232" s="72" t="s">
        <v>424</v>
      </c>
      <c r="D232" s="73" t="s">
        <v>14</v>
      </c>
      <c r="E232" s="73" t="s">
        <v>15</v>
      </c>
      <c r="F232" s="74" t="s">
        <v>425</v>
      </c>
      <c r="G232" s="150"/>
    </row>
    <row r="233" spans="1:7" hidden="1">
      <c r="A233" s="71"/>
      <c r="B233" s="86" t="s">
        <v>494</v>
      </c>
      <c r="C233" s="72" t="s">
        <v>495</v>
      </c>
      <c r="D233" s="73" t="s">
        <v>458</v>
      </c>
      <c r="E233" s="73" t="s">
        <v>397</v>
      </c>
      <c r="F233" s="74" t="s">
        <v>496</v>
      </c>
      <c r="G233" s="150"/>
    </row>
    <row r="234" spans="1:7" hidden="1">
      <c r="A234" s="71"/>
      <c r="B234" s="86" t="s">
        <v>456</v>
      </c>
      <c r="C234" s="72" t="s">
        <v>457</v>
      </c>
      <c r="D234" s="73" t="s">
        <v>458</v>
      </c>
      <c r="E234" s="73" t="s">
        <v>397</v>
      </c>
      <c r="F234" s="74" t="s">
        <v>459</v>
      </c>
      <c r="G234" s="150"/>
    </row>
    <row r="235" spans="1:7" hidden="1">
      <c r="A235" s="71"/>
      <c r="B235" s="86" t="s">
        <v>446</v>
      </c>
      <c r="C235" s="72" t="s">
        <v>426</v>
      </c>
      <c r="D235" s="73" t="s">
        <v>17</v>
      </c>
      <c r="E235" s="73" t="s">
        <v>15</v>
      </c>
      <c r="F235" s="74" t="s">
        <v>427</v>
      </c>
      <c r="G235" s="150"/>
    </row>
    <row r="236" spans="1:7" hidden="1">
      <c r="A236" s="71"/>
      <c r="B236" s="86" t="s">
        <v>447</v>
      </c>
      <c r="C236" s="72" t="s">
        <v>428</v>
      </c>
      <c r="D236" s="73" t="s">
        <v>17</v>
      </c>
      <c r="E236" s="73" t="s">
        <v>15</v>
      </c>
      <c r="F236" s="74" t="s">
        <v>429</v>
      </c>
      <c r="G236" s="150"/>
    </row>
    <row r="237" spans="1:7" ht="18" hidden="1" thickBot="1">
      <c r="A237" s="71"/>
      <c r="B237" s="87" t="s">
        <v>448</v>
      </c>
      <c r="C237" s="75" t="s">
        <v>430</v>
      </c>
      <c r="D237" s="76" t="s">
        <v>141</v>
      </c>
      <c r="E237" s="76" t="s">
        <v>15</v>
      </c>
      <c r="F237" s="77" t="s">
        <v>431</v>
      </c>
      <c r="G237" s="151"/>
    </row>
    <row r="238" spans="1:7" hidden="1">
      <c r="B238" s="147" t="s">
        <v>587</v>
      </c>
      <c r="C238" s="148"/>
      <c r="D238" s="148"/>
      <c r="E238" s="148"/>
      <c r="F238" s="148"/>
      <c r="G238" s="149"/>
    </row>
    <row r="239" spans="1:7" hidden="1">
      <c r="B239" s="19" t="s">
        <v>2</v>
      </c>
      <c r="C239" s="5" t="s">
        <v>3</v>
      </c>
      <c r="D239" s="5" t="s">
        <v>4</v>
      </c>
      <c r="E239" s="5" t="s">
        <v>20</v>
      </c>
      <c r="F239" s="5" t="s">
        <v>22</v>
      </c>
      <c r="G239" s="20" t="s">
        <v>7</v>
      </c>
    </row>
    <row r="240" spans="1:7" ht="16.5" hidden="1" customHeight="1">
      <c r="B240" s="82" t="s">
        <v>13</v>
      </c>
      <c r="C240" s="23" t="s">
        <v>56</v>
      </c>
      <c r="D240" s="24" t="s">
        <v>17</v>
      </c>
      <c r="E240" s="24" t="s">
        <v>15</v>
      </c>
      <c r="F240" s="42" t="s">
        <v>326</v>
      </c>
      <c r="G240" s="199" t="s">
        <v>487</v>
      </c>
    </row>
    <row r="241" spans="2:7" hidden="1">
      <c r="B241" s="85" t="s">
        <v>588</v>
      </c>
      <c r="C241" s="23"/>
      <c r="D241" s="24"/>
      <c r="E241" s="24"/>
      <c r="F241" s="42"/>
      <c r="G241" s="199"/>
    </row>
    <row r="242" spans="2:7" hidden="1">
      <c r="B242" s="82" t="s">
        <v>450</v>
      </c>
      <c r="C242" s="23" t="s">
        <v>408</v>
      </c>
      <c r="D242" s="24" t="s">
        <v>17</v>
      </c>
      <c r="E242" s="24" t="s">
        <v>15</v>
      </c>
      <c r="F242" s="42" t="s">
        <v>432</v>
      </c>
      <c r="G242" s="199"/>
    </row>
    <row r="243" spans="2:7" hidden="1">
      <c r="B243" s="82" t="s">
        <v>451</v>
      </c>
      <c r="C243" s="23" t="s">
        <v>411</v>
      </c>
      <c r="D243" s="24" t="s">
        <v>17</v>
      </c>
      <c r="E243" s="24" t="s">
        <v>15</v>
      </c>
      <c r="F243" s="42" t="s">
        <v>433</v>
      </c>
      <c r="G243" s="199"/>
    </row>
    <row r="244" spans="2:7" hidden="1">
      <c r="B244" s="82" t="s">
        <v>452</v>
      </c>
      <c r="C244" s="23" t="s">
        <v>414</v>
      </c>
      <c r="D244" s="24" t="s">
        <v>159</v>
      </c>
      <c r="E244" s="24" t="s">
        <v>15</v>
      </c>
      <c r="F244" s="42" t="b">
        <v>0</v>
      </c>
      <c r="G244" s="199"/>
    </row>
    <row r="245" spans="2:7" hidden="1">
      <c r="B245" s="85" t="s">
        <v>589</v>
      </c>
      <c r="C245" s="23"/>
      <c r="D245" s="24"/>
      <c r="E245" s="24"/>
      <c r="F245" s="42"/>
      <c r="G245" s="199"/>
    </row>
    <row r="246" spans="2:7" hidden="1">
      <c r="B246" s="82" t="s">
        <v>450</v>
      </c>
      <c r="C246" s="23" t="s">
        <v>408</v>
      </c>
      <c r="D246" s="24" t="s">
        <v>17</v>
      </c>
      <c r="E246" s="24" t="s">
        <v>15</v>
      </c>
      <c r="F246" s="42" t="s">
        <v>432</v>
      </c>
      <c r="G246" s="199"/>
    </row>
    <row r="247" spans="2:7" hidden="1">
      <c r="B247" s="82" t="s">
        <v>451</v>
      </c>
      <c r="C247" s="23" t="s">
        <v>411</v>
      </c>
      <c r="D247" s="24" t="s">
        <v>17</v>
      </c>
      <c r="E247" s="24" t="s">
        <v>15</v>
      </c>
      <c r="F247" s="42" t="s">
        <v>434</v>
      </c>
      <c r="G247" s="199"/>
    </row>
    <row r="248" spans="2:7" hidden="1">
      <c r="B248" s="82" t="s">
        <v>452</v>
      </c>
      <c r="C248" s="23" t="s">
        <v>414</v>
      </c>
      <c r="D248" s="24" t="s">
        <v>159</v>
      </c>
      <c r="E248" s="24" t="s">
        <v>15</v>
      </c>
      <c r="F248" s="42" t="b">
        <v>1</v>
      </c>
      <c r="G248" s="199"/>
    </row>
    <row r="249" spans="2:7" hidden="1">
      <c r="B249" s="85" t="s">
        <v>590</v>
      </c>
      <c r="C249" s="23"/>
      <c r="D249" s="24"/>
      <c r="E249" s="24"/>
      <c r="F249" s="42"/>
      <c r="G249" s="199"/>
    </row>
    <row r="250" spans="2:7" hidden="1">
      <c r="B250" s="82" t="s">
        <v>450</v>
      </c>
      <c r="C250" s="23" t="s">
        <v>408</v>
      </c>
      <c r="D250" s="24" t="s">
        <v>17</v>
      </c>
      <c r="E250" s="24" t="s">
        <v>15</v>
      </c>
      <c r="F250" s="42" t="s">
        <v>435</v>
      </c>
      <c r="G250" s="199"/>
    </row>
    <row r="251" spans="2:7" hidden="1">
      <c r="B251" s="82" t="s">
        <v>453</v>
      </c>
      <c r="C251" s="23" t="s">
        <v>133</v>
      </c>
      <c r="D251" s="24" t="s">
        <v>60</v>
      </c>
      <c r="E251" s="24" t="s">
        <v>15</v>
      </c>
      <c r="F251" s="42" t="s">
        <v>436</v>
      </c>
      <c r="G251" s="199"/>
    </row>
    <row r="252" spans="2:7" hidden="1">
      <c r="B252" s="85" t="s">
        <v>591</v>
      </c>
      <c r="C252" s="23"/>
      <c r="D252" s="24"/>
      <c r="E252" s="24"/>
      <c r="F252" s="42"/>
      <c r="G252" s="199"/>
    </row>
    <row r="253" spans="2:7" ht="18" hidden="1" thickBot="1">
      <c r="B253" s="83" t="s">
        <v>483</v>
      </c>
      <c r="C253" s="25" t="s">
        <v>484</v>
      </c>
      <c r="D253" s="26" t="s">
        <v>17</v>
      </c>
      <c r="E253" s="26" t="s">
        <v>15</v>
      </c>
      <c r="F253" s="25" t="s">
        <v>485</v>
      </c>
      <c r="G253" s="200"/>
    </row>
    <row r="254" spans="2:7" ht="18" hidden="1" thickBot="1"/>
    <row r="255" spans="2:7" hidden="1">
      <c r="B255" s="79" t="s">
        <v>374</v>
      </c>
      <c r="C255" s="167" t="s">
        <v>512</v>
      </c>
      <c r="D255" s="167"/>
      <c r="E255" s="167"/>
      <c r="F255" s="167"/>
      <c r="G255" s="168"/>
    </row>
    <row r="256" spans="2:7" ht="18" hidden="1" thickBot="1">
      <c r="B256" s="80" t="s">
        <v>44</v>
      </c>
      <c r="C256" s="169" t="s">
        <v>685</v>
      </c>
      <c r="D256" s="169"/>
      <c r="E256" s="169"/>
      <c r="F256" s="169"/>
      <c r="G256" s="170"/>
    </row>
    <row r="257" spans="2:7" ht="18" hidden="1" thickBot="1">
      <c r="B257" s="92" t="s">
        <v>52</v>
      </c>
      <c r="C257" s="171" t="s">
        <v>513</v>
      </c>
      <c r="D257" s="172"/>
      <c r="E257" s="172"/>
      <c r="F257" s="172"/>
      <c r="G257" s="173"/>
    </row>
    <row r="258" spans="2:7" hidden="1">
      <c r="B258" s="177" t="s">
        <v>271</v>
      </c>
      <c r="C258" s="178"/>
      <c r="D258" s="178"/>
      <c r="E258" s="178"/>
      <c r="F258" s="178"/>
      <c r="G258" s="179"/>
    </row>
    <row r="259" spans="2:7" hidden="1">
      <c r="B259" s="17" t="s">
        <v>2</v>
      </c>
      <c r="C259" s="4" t="s">
        <v>3</v>
      </c>
      <c r="D259" s="4" t="s">
        <v>4</v>
      </c>
      <c r="E259" s="4" t="s">
        <v>20</v>
      </c>
      <c r="F259" s="4" t="s">
        <v>5</v>
      </c>
      <c r="G259" s="18" t="s">
        <v>6</v>
      </c>
    </row>
    <row r="260" spans="2:7" hidden="1">
      <c r="B260" s="82" t="s">
        <v>13</v>
      </c>
      <c r="C260" s="23" t="s">
        <v>268</v>
      </c>
      <c r="D260" s="24" t="s">
        <v>270</v>
      </c>
      <c r="E260" s="24" t="s">
        <v>269</v>
      </c>
      <c r="F260" s="2" t="s">
        <v>488</v>
      </c>
      <c r="G260" s="150" t="s">
        <v>525</v>
      </c>
    </row>
    <row r="261" spans="2:7" hidden="1">
      <c r="B261" s="82" t="s">
        <v>493</v>
      </c>
      <c r="C261" s="2" t="s">
        <v>498</v>
      </c>
      <c r="D261" s="24" t="s">
        <v>267</v>
      </c>
      <c r="E261" s="24" t="s">
        <v>269</v>
      </c>
      <c r="F261" s="2" t="s">
        <v>499</v>
      </c>
      <c r="G261" s="150"/>
    </row>
    <row r="262" spans="2:7" ht="18" hidden="1" thickBot="1">
      <c r="B262" s="84" t="s">
        <v>497</v>
      </c>
      <c r="C262" s="96" t="s">
        <v>500</v>
      </c>
      <c r="D262" s="30" t="s">
        <v>267</v>
      </c>
      <c r="E262" s="30" t="s">
        <v>269</v>
      </c>
      <c r="F262" s="97" t="s">
        <v>511</v>
      </c>
      <c r="G262" s="164"/>
    </row>
    <row r="263" spans="2:7" hidden="1">
      <c r="B263" s="147" t="s">
        <v>1</v>
      </c>
      <c r="C263" s="148"/>
      <c r="D263" s="148"/>
      <c r="E263" s="148"/>
      <c r="F263" s="148"/>
      <c r="G263" s="149"/>
    </row>
    <row r="264" spans="2:7" hidden="1">
      <c r="B264" s="19" t="s">
        <v>2</v>
      </c>
      <c r="C264" s="5" t="s">
        <v>3</v>
      </c>
      <c r="D264" s="5" t="s">
        <v>4</v>
      </c>
      <c r="E264" s="5" t="s">
        <v>20</v>
      </c>
      <c r="F264" s="5" t="s">
        <v>5</v>
      </c>
      <c r="G264" s="20" t="s">
        <v>7</v>
      </c>
    </row>
    <row r="265" spans="2:7" ht="16.5" hidden="1" customHeight="1">
      <c r="B265" s="86" t="s">
        <v>471</v>
      </c>
      <c r="C265" s="72" t="s">
        <v>464</v>
      </c>
      <c r="D265" s="73" t="s">
        <v>267</v>
      </c>
      <c r="E265" s="73" t="s">
        <v>397</v>
      </c>
      <c r="F265" s="74" t="s">
        <v>489</v>
      </c>
      <c r="G265" s="150" t="s">
        <v>583</v>
      </c>
    </row>
    <row r="266" spans="2:7" ht="16.5" hidden="1" customHeight="1">
      <c r="B266" s="86" t="s">
        <v>472</v>
      </c>
      <c r="C266" s="72" t="s">
        <v>465</v>
      </c>
      <c r="D266" s="73" t="s">
        <v>267</v>
      </c>
      <c r="E266" s="73" t="s">
        <v>397</v>
      </c>
      <c r="F266" s="74" t="s">
        <v>490</v>
      </c>
      <c r="G266" s="150"/>
    </row>
    <row r="267" spans="2:7" ht="16.5" hidden="1" customHeight="1">
      <c r="B267" s="86" t="s">
        <v>507</v>
      </c>
      <c r="C267" s="72" t="s">
        <v>509</v>
      </c>
      <c r="D267" s="73" t="s">
        <v>17</v>
      </c>
      <c r="E267" s="73" t="s">
        <v>15</v>
      </c>
      <c r="F267" s="74" t="s">
        <v>508</v>
      </c>
      <c r="G267" s="150"/>
    </row>
    <row r="268" spans="2:7" ht="16.5" hidden="1" customHeight="1">
      <c r="B268" s="86" t="s">
        <v>510</v>
      </c>
      <c r="C268" s="72" t="s">
        <v>523</v>
      </c>
      <c r="D268" s="73" t="s">
        <v>458</v>
      </c>
      <c r="E268" s="73" t="s">
        <v>378</v>
      </c>
      <c r="F268" s="65" t="s">
        <v>524</v>
      </c>
      <c r="G268" s="150"/>
    </row>
    <row r="269" spans="2:7" ht="15.75" hidden="1" customHeight="1" thickBot="1">
      <c r="B269" s="87" t="s">
        <v>578</v>
      </c>
      <c r="C269" s="75" t="s">
        <v>579</v>
      </c>
      <c r="D269" s="76" t="s">
        <v>580</v>
      </c>
      <c r="E269" s="76" t="s">
        <v>581</v>
      </c>
      <c r="F269" s="77" t="s">
        <v>582</v>
      </c>
      <c r="G269" s="151"/>
    </row>
    <row r="270" spans="2:7" ht="18" hidden="1" thickBot="1">
      <c r="G270" s="3"/>
    </row>
    <row r="271" spans="2:7" hidden="1">
      <c r="B271" s="79" t="s">
        <v>374</v>
      </c>
      <c r="C271" s="167" t="s">
        <v>537</v>
      </c>
      <c r="D271" s="167"/>
      <c r="E271" s="167"/>
      <c r="F271" s="167"/>
      <c r="G271" s="168"/>
    </row>
    <row r="272" spans="2:7" hidden="1">
      <c r="B272" s="80" t="s">
        <v>44</v>
      </c>
      <c r="C272" s="142" t="s">
        <v>538</v>
      </c>
      <c r="D272" s="142"/>
      <c r="E272" s="142"/>
      <c r="F272" s="142"/>
      <c r="G272" s="174"/>
    </row>
    <row r="273" spans="2:7" ht="18" hidden="1" thickBot="1">
      <c r="B273" s="81" t="s">
        <v>52</v>
      </c>
      <c r="C273" s="175" t="s">
        <v>539</v>
      </c>
      <c r="D273" s="175"/>
      <c r="E273" s="175"/>
      <c r="F273" s="175"/>
      <c r="G273" s="176"/>
    </row>
    <row r="274" spans="2:7" hidden="1">
      <c r="B274" s="177" t="s">
        <v>271</v>
      </c>
      <c r="C274" s="178"/>
      <c r="D274" s="178"/>
      <c r="E274" s="178"/>
      <c r="F274" s="178"/>
      <c r="G274" s="179"/>
    </row>
    <row r="275" spans="2:7" hidden="1">
      <c r="B275" s="17" t="s">
        <v>2</v>
      </c>
      <c r="C275" s="4" t="s">
        <v>3</v>
      </c>
      <c r="D275" s="4" t="s">
        <v>4</v>
      </c>
      <c r="E275" s="4" t="s">
        <v>20</v>
      </c>
      <c r="F275" s="4" t="s">
        <v>5</v>
      </c>
      <c r="G275" s="18" t="s">
        <v>6</v>
      </c>
    </row>
    <row r="276" spans="2:7" ht="18" hidden="1" thickBot="1">
      <c r="B276" s="100" t="s">
        <v>530</v>
      </c>
      <c r="C276" s="104" t="s">
        <v>498</v>
      </c>
      <c r="D276" s="102" t="s">
        <v>267</v>
      </c>
      <c r="E276" s="102" t="s">
        <v>269</v>
      </c>
      <c r="F276" s="104" t="s">
        <v>531</v>
      </c>
      <c r="G276" s="98" t="s">
        <v>532</v>
      </c>
    </row>
    <row r="277" spans="2:7" hidden="1">
      <c r="B277" s="147" t="s">
        <v>1</v>
      </c>
      <c r="C277" s="148"/>
      <c r="D277" s="148"/>
      <c r="E277" s="148"/>
      <c r="F277" s="148"/>
      <c r="G277" s="149"/>
    </row>
    <row r="278" spans="2:7" hidden="1">
      <c r="B278" s="19" t="s">
        <v>2</v>
      </c>
      <c r="C278" s="5" t="s">
        <v>3</v>
      </c>
      <c r="D278" s="5" t="s">
        <v>4</v>
      </c>
      <c r="E278" s="5" t="s">
        <v>20</v>
      </c>
      <c r="F278" s="5" t="s">
        <v>5</v>
      </c>
      <c r="G278" s="20" t="s">
        <v>7</v>
      </c>
    </row>
    <row r="279" spans="2:7" ht="16.5" hidden="1" customHeight="1">
      <c r="B279" s="105" t="s">
        <v>572</v>
      </c>
      <c r="C279" s="72" t="s">
        <v>567</v>
      </c>
      <c r="D279" s="73" t="s">
        <v>17</v>
      </c>
      <c r="E279" s="73" t="s">
        <v>15</v>
      </c>
      <c r="F279" s="72" t="s">
        <v>568</v>
      </c>
      <c r="G279" s="150" t="s">
        <v>573</v>
      </c>
    </row>
    <row r="280" spans="2:7" ht="16.5" hidden="1" customHeight="1">
      <c r="B280" s="105" t="s">
        <v>561</v>
      </c>
      <c r="C280" s="72" t="s">
        <v>569</v>
      </c>
      <c r="D280" s="73" t="s">
        <v>136</v>
      </c>
      <c r="E280" s="73" t="s">
        <v>15</v>
      </c>
      <c r="F280" s="72" t="s">
        <v>570</v>
      </c>
      <c r="G280" s="150"/>
    </row>
    <row r="281" spans="2:7" ht="16.5" hidden="1" customHeight="1">
      <c r="B281" s="105" t="s">
        <v>564</v>
      </c>
      <c r="C281" s="72" t="s">
        <v>565</v>
      </c>
      <c r="D281" s="73" t="s">
        <v>17</v>
      </c>
      <c r="E281" s="73" t="s">
        <v>15</v>
      </c>
      <c r="F281" s="72" t="s">
        <v>571</v>
      </c>
      <c r="G281" s="150"/>
    </row>
    <row r="282" spans="2:7" ht="16.5" hidden="1" customHeight="1" thickBot="1">
      <c r="B282" s="87" t="s">
        <v>533</v>
      </c>
      <c r="C282" s="75" t="s">
        <v>534</v>
      </c>
      <c r="D282" s="76" t="s">
        <v>535</v>
      </c>
      <c r="E282" s="76" t="s">
        <v>269</v>
      </c>
      <c r="F282" s="77" t="s">
        <v>536</v>
      </c>
      <c r="G282" s="151"/>
    </row>
    <row r="283" spans="2:7" ht="18" hidden="1" thickBot="1"/>
    <row r="284" spans="2:7" hidden="1">
      <c r="B284" s="79" t="s">
        <v>374</v>
      </c>
      <c r="C284" s="167" t="s">
        <v>574</v>
      </c>
      <c r="D284" s="167"/>
      <c r="E284" s="167"/>
      <c r="F284" s="167"/>
      <c r="G284" s="168"/>
    </row>
    <row r="285" spans="2:7" hidden="1">
      <c r="B285" s="80" t="s">
        <v>44</v>
      </c>
      <c r="C285" s="142" t="s">
        <v>551</v>
      </c>
      <c r="D285" s="142"/>
      <c r="E285" s="142"/>
      <c r="F285" s="142"/>
      <c r="G285" s="174"/>
    </row>
    <row r="286" spans="2:7" ht="18" hidden="1" thickBot="1">
      <c r="B286" s="81" t="s">
        <v>52</v>
      </c>
      <c r="C286" s="175" t="s">
        <v>738</v>
      </c>
      <c r="D286" s="175"/>
      <c r="E286" s="175"/>
      <c r="F286" s="175"/>
      <c r="G286" s="176"/>
    </row>
    <row r="287" spans="2:7" hidden="1">
      <c r="B287" s="177" t="s">
        <v>271</v>
      </c>
      <c r="C287" s="178"/>
      <c r="D287" s="178"/>
      <c r="E287" s="178"/>
      <c r="F287" s="178"/>
      <c r="G287" s="179"/>
    </row>
    <row r="288" spans="2:7" hidden="1">
      <c r="B288" s="17" t="s">
        <v>2</v>
      </c>
      <c r="C288" s="4" t="s">
        <v>3</v>
      </c>
      <c r="D288" s="4" t="s">
        <v>4</v>
      </c>
      <c r="E288" s="4" t="s">
        <v>20</v>
      </c>
      <c r="F288" s="4" t="s">
        <v>5</v>
      </c>
      <c r="G288" s="18" t="s">
        <v>6</v>
      </c>
    </row>
    <row r="289" spans="2:7" ht="18" hidden="1" thickBot="1">
      <c r="B289" s="100" t="s">
        <v>739</v>
      </c>
      <c r="C289" s="104" t="s">
        <v>498</v>
      </c>
      <c r="D289" s="102" t="s">
        <v>267</v>
      </c>
      <c r="E289" s="102" t="s">
        <v>269</v>
      </c>
      <c r="F289" s="104" t="s">
        <v>531</v>
      </c>
      <c r="G289" s="98" t="s">
        <v>554</v>
      </c>
    </row>
    <row r="290" spans="2:7" hidden="1">
      <c r="B290" s="147" t="s">
        <v>1</v>
      </c>
      <c r="C290" s="148"/>
      <c r="D290" s="148"/>
      <c r="E290" s="148"/>
      <c r="F290" s="148"/>
      <c r="G290" s="149"/>
    </row>
    <row r="291" spans="2:7" hidden="1">
      <c r="B291" s="19" t="s">
        <v>2</v>
      </c>
      <c r="C291" s="5" t="s">
        <v>3</v>
      </c>
      <c r="D291" s="5" t="s">
        <v>4</v>
      </c>
      <c r="E291" s="5" t="s">
        <v>20</v>
      </c>
      <c r="F291" s="5" t="s">
        <v>5</v>
      </c>
      <c r="G291" s="20" t="s">
        <v>7</v>
      </c>
    </row>
    <row r="292" spans="2:7" ht="16.5" hidden="1" customHeight="1">
      <c r="B292" s="105" t="s">
        <v>558</v>
      </c>
      <c r="C292" s="72" t="s">
        <v>559</v>
      </c>
      <c r="D292" s="73" t="s">
        <v>17</v>
      </c>
      <c r="E292" s="73" t="s">
        <v>15</v>
      </c>
      <c r="F292" s="72" t="s">
        <v>560</v>
      </c>
      <c r="G292" s="150" t="s">
        <v>557</v>
      </c>
    </row>
    <row r="293" spans="2:7" hidden="1">
      <c r="B293" s="105" t="s">
        <v>561</v>
      </c>
      <c r="C293" s="72" t="s">
        <v>562</v>
      </c>
      <c r="D293" s="73" t="s">
        <v>136</v>
      </c>
      <c r="E293" s="73" t="s">
        <v>15</v>
      </c>
      <c r="F293" s="72" t="s">
        <v>563</v>
      </c>
      <c r="G293" s="150"/>
    </row>
    <row r="294" spans="2:7" hidden="1">
      <c r="B294" s="105" t="s">
        <v>564</v>
      </c>
      <c r="C294" s="72" t="s">
        <v>565</v>
      </c>
      <c r="D294" s="73" t="s">
        <v>17</v>
      </c>
      <c r="E294" s="73" t="s">
        <v>15</v>
      </c>
      <c r="F294" s="72" t="s">
        <v>566</v>
      </c>
      <c r="G294" s="150"/>
    </row>
    <row r="295" spans="2:7" ht="18" hidden="1" thickBot="1">
      <c r="B295" s="87" t="s">
        <v>533</v>
      </c>
      <c r="C295" s="75" t="s">
        <v>556</v>
      </c>
      <c r="D295" s="76" t="s">
        <v>535</v>
      </c>
      <c r="E295" s="76" t="s">
        <v>269</v>
      </c>
      <c r="F295" s="77" t="s">
        <v>555</v>
      </c>
      <c r="G295" s="151"/>
    </row>
    <row r="296" spans="2:7" hidden="1">
      <c r="G296" s="3"/>
    </row>
    <row r="299" spans="2:7">
      <c r="B299" s="8"/>
      <c r="C299" s="8"/>
      <c r="D299" s="8"/>
      <c r="E299" s="8"/>
      <c r="F299" s="8"/>
      <c r="G299" s="8"/>
    </row>
    <row r="300" spans="2:7">
      <c r="B300" s="3"/>
      <c r="C300" s="3"/>
      <c r="D300" s="7"/>
      <c r="E300" s="7"/>
      <c r="F300" s="3"/>
      <c r="G300" s="3"/>
    </row>
    <row r="301" spans="2:7">
      <c r="B301" s="3"/>
      <c r="C301" s="3"/>
      <c r="D301" s="7"/>
      <c r="E301" s="7"/>
      <c r="F301" s="3"/>
      <c r="G301" s="3"/>
    </row>
    <row r="302" spans="2:7">
      <c r="B302" s="3"/>
      <c r="C302" s="3"/>
      <c r="D302" s="7"/>
      <c r="E302" s="7"/>
      <c r="F302" s="3"/>
      <c r="G302" s="3"/>
    </row>
    <row r="303" spans="2:7">
      <c r="B303" s="3"/>
      <c r="C303" s="3"/>
      <c r="D303" s="7"/>
      <c r="E303" s="7"/>
      <c r="F303" s="3"/>
      <c r="G303" s="3"/>
    </row>
  </sheetData>
  <mergeCells count="83">
    <mergeCell ref="G292:G295"/>
    <mergeCell ref="G279:G282"/>
    <mergeCell ref="G240:G253"/>
    <mergeCell ref="C284:G284"/>
    <mergeCell ref="C285:G285"/>
    <mergeCell ref="C286:G286"/>
    <mergeCell ref="B287:G287"/>
    <mergeCell ref="B290:G290"/>
    <mergeCell ref="B277:G277"/>
    <mergeCell ref="C271:G271"/>
    <mergeCell ref="C272:G272"/>
    <mergeCell ref="C273:G273"/>
    <mergeCell ref="B274:G274"/>
    <mergeCell ref="B258:G258"/>
    <mergeCell ref="G260:G262"/>
    <mergeCell ref="B263:G263"/>
    <mergeCell ref="G7:G13"/>
    <mergeCell ref="B5:G5"/>
    <mergeCell ref="B14:G14"/>
    <mergeCell ref="B30:G30"/>
    <mergeCell ref="C2:G2"/>
    <mergeCell ref="C3:G3"/>
    <mergeCell ref="C4:G4"/>
    <mergeCell ref="G16:G29"/>
    <mergeCell ref="G107:G110"/>
    <mergeCell ref="B72:G72"/>
    <mergeCell ref="G32:G40"/>
    <mergeCell ref="C66:G66"/>
    <mergeCell ref="C67:G67"/>
    <mergeCell ref="B68:G68"/>
    <mergeCell ref="G70:G71"/>
    <mergeCell ref="C42:G42"/>
    <mergeCell ref="C43:G43"/>
    <mergeCell ref="C44:G44"/>
    <mergeCell ref="B45:G45"/>
    <mergeCell ref="G47:G54"/>
    <mergeCell ref="B55:G55"/>
    <mergeCell ref="G57:G62"/>
    <mergeCell ref="B144:G144"/>
    <mergeCell ref="B115:G115"/>
    <mergeCell ref="C112:G112"/>
    <mergeCell ref="C113:G113"/>
    <mergeCell ref="C114:G114"/>
    <mergeCell ref="B238:G238"/>
    <mergeCell ref="C77:G77"/>
    <mergeCell ref="C78:G78"/>
    <mergeCell ref="C79:G79"/>
    <mergeCell ref="B80:G80"/>
    <mergeCell ref="G82:G104"/>
    <mergeCell ref="B105:G105"/>
    <mergeCell ref="G215:G220"/>
    <mergeCell ref="B221:G221"/>
    <mergeCell ref="G223:G237"/>
    <mergeCell ref="C210:G210"/>
    <mergeCell ref="C211:G211"/>
    <mergeCell ref="C212:G212"/>
    <mergeCell ref="B213:G213"/>
    <mergeCell ref="B199:G199"/>
    <mergeCell ref="B202:G202"/>
    <mergeCell ref="G117:G143"/>
    <mergeCell ref="G265:G269"/>
    <mergeCell ref="C65:G65"/>
    <mergeCell ref="C255:G255"/>
    <mergeCell ref="C256:G256"/>
    <mergeCell ref="C257:G257"/>
    <mergeCell ref="G146:G154"/>
    <mergeCell ref="C183:G183"/>
    <mergeCell ref="C184:G184"/>
    <mergeCell ref="C185:G185"/>
    <mergeCell ref="B186:G186"/>
    <mergeCell ref="B189:G189"/>
    <mergeCell ref="G191:G194"/>
    <mergeCell ref="C196:G196"/>
    <mergeCell ref="C197:G197"/>
    <mergeCell ref="C198:G198"/>
    <mergeCell ref="B155:G155"/>
    <mergeCell ref="G157:G171"/>
    <mergeCell ref="G204:G207"/>
    <mergeCell ref="C173:G173"/>
    <mergeCell ref="C174:G174"/>
    <mergeCell ref="C175:G175"/>
    <mergeCell ref="B176:G176"/>
    <mergeCell ref="B179:G17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G109"/>
  <sheetViews>
    <sheetView zoomScale="55" zoomScaleNormal="55" workbookViewId="0">
      <selection activeCell="O38" sqref="O38"/>
    </sheetView>
  </sheetViews>
  <sheetFormatPr defaultRowHeight="17.600000000000001"/>
  <cols>
    <col min="2" max="2" width="37" bestFit="1" customWidth="1"/>
    <col min="3" max="3" width="23.7109375" style="1" bestFit="1" customWidth="1"/>
    <col min="4" max="4" width="11.85546875" style="1" bestFit="1" customWidth="1"/>
    <col min="5" max="5" width="8.140625" style="1" customWidth="1"/>
    <col min="6" max="6" width="49.5" bestFit="1" customWidth="1"/>
    <col min="7" max="7" width="83.35546875" bestFit="1" customWidth="1"/>
  </cols>
  <sheetData>
    <row r="1" spans="2:7" ht="18" thickBot="1"/>
    <row r="2" spans="2:7">
      <c r="B2" s="15" t="s">
        <v>256</v>
      </c>
      <c r="C2" s="167" t="s">
        <v>257</v>
      </c>
      <c r="D2" s="167"/>
      <c r="E2" s="167"/>
      <c r="F2" s="167"/>
      <c r="G2" s="168"/>
    </row>
    <row r="3" spans="2:7">
      <c r="B3" s="22" t="s">
        <v>48</v>
      </c>
      <c r="C3" s="169" t="s">
        <v>53</v>
      </c>
      <c r="D3" s="169"/>
      <c r="E3" s="169"/>
      <c r="F3" s="169"/>
      <c r="G3" s="170"/>
    </row>
    <row r="4" spans="2:7">
      <c r="B4" s="16" t="s">
        <v>50</v>
      </c>
      <c r="C4" s="142" t="s">
        <v>51</v>
      </c>
      <c r="D4" s="142"/>
      <c r="E4" s="142"/>
      <c r="F4" s="142"/>
      <c r="G4" s="174"/>
    </row>
    <row r="5" spans="2:7" ht="18" thickBot="1">
      <c r="B5" s="16" t="s">
        <v>52</v>
      </c>
      <c r="C5" s="206" t="s">
        <v>263</v>
      </c>
      <c r="D5" s="206"/>
      <c r="E5" s="206"/>
      <c r="F5" s="206"/>
      <c r="G5" s="206"/>
    </row>
    <row r="6" spans="2:7">
      <c r="B6" s="212" t="s">
        <v>0</v>
      </c>
      <c r="C6" s="213"/>
      <c r="D6" s="213"/>
      <c r="E6" s="213"/>
      <c r="F6" s="213"/>
      <c r="G6" s="214"/>
    </row>
    <row r="7" spans="2:7">
      <c r="B7" s="17" t="s">
        <v>2</v>
      </c>
      <c r="C7" s="4" t="s">
        <v>3</v>
      </c>
      <c r="D7" s="4" t="s">
        <v>4</v>
      </c>
      <c r="E7" s="4" t="s">
        <v>21</v>
      </c>
      <c r="F7" s="4" t="s">
        <v>5</v>
      </c>
      <c r="G7" s="18" t="s">
        <v>6</v>
      </c>
    </row>
    <row r="8" spans="2:7" ht="17.25" customHeight="1">
      <c r="B8" s="27" t="s">
        <v>13</v>
      </c>
      <c r="C8" s="23" t="s">
        <v>56</v>
      </c>
      <c r="D8" s="24" t="s">
        <v>57</v>
      </c>
      <c r="E8" s="24" t="s">
        <v>15</v>
      </c>
      <c r="F8" s="23" t="s">
        <v>58</v>
      </c>
      <c r="G8" s="210" t="s">
        <v>275</v>
      </c>
    </row>
    <row r="9" spans="2:7" ht="17.25" customHeight="1">
      <c r="B9" s="27" t="s">
        <v>216</v>
      </c>
      <c r="C9" s="23" t="s">
        <v>59</v>
      </c>
      <c r="D9" s="24" t="s">
        <v>60</v>
      </c>
      <c r="E9" s="24" t="s">
        <v>15</v>
      </c>
      <c r="F9" s="23" t="s">
        <v>61</v>
      </c>
      <c r="G9" s="210"/>
    </row>
    <row r="10" spans="2:7" ht="17.25" customHeight="1">
      <c r="B10" s="27" t="s">
        <v>217</v>
      </c>
      <c r="C10" s="23" t="s">
        <v>62</v>
      </c>
      <c r="D10" s="24" t="s">
        <v>17</v>
      </c>
      <c r="E10" s="24" t="s">
        <v>15</v>
      </c>
      <c r="F10" s="23" t="s">
        <v>63</v>
      </c>
      <c r="G10" s="210"/>
    </row>
    <row r="11" spans="2:7" ht="17.25" customHeight="1">
      <c r="B11" s="27" t="s">
        <v>196</v>
      </c>
      <c r="C11" s="23" t="s">
        <v>64</v>
      </c>
      <c r="D11" s="24" t="s">
        <v>17</v>
      </c>
      <c r="E11" s="24" t="s">
        <v>15</v>
      </c>
      <c r="F11" s="23" t="s">
        <v>65</v>
      </c>
      <c r="G11" s="210"/>
    </row>
    <row r="12" spans="2:7" ht="17.25" customHeight="1">
      <c r="B12" s="27" t="s">
        <v>197</v>
      </c>
      <c r="C12" s="23" t="s">
        <v>66</v>
      </c>
      <c r="D12" s="24" t="s">
        <v>17</v>
      </c>
      <c r="E12" s="24" t="s">
        <v>67</v>
      </c>
      <c r="F12" s="23" t="s">
        <v>68</v>
      </c>
      <c r="G12" s="210"/>
    </row>
    <row r="13" spans="2:7" ht="17.25" customHeight="1">
      <c r="B13" s="27" t="s">
        <v>218</v>
      </c>
      <c r="C13" s="23" t="s">
        <v>69</v>
      </c>
      <c r="D13" s="24" t="s">
        <v>60</v>
      </c>
      <c r="E13" s="24" t="s">
        <v>67</v>
      </c>
      <c r="F13" s="23" t="s">
        <v>70</v>
      </c>
      <c r="G13" s="210"/>
    </row>
    <row r="14" spans="2:7" ht="17.25" customHeight="1">
      <c r="B14" s="27" t="s">
        <v>219</v>
      </c>
      <c r="C14" s="23" t="s">
        <v>71</v>
      </c>
      <c r="D14" s="24" t="s">
        <v>17</v>
      </c>
      <c r="E14" s="24" t="s">
        <v>67</v>
      </c>
      <c r="F14" s="23" t="s">
        <v>72</v>
      </c>
      <c r="G14" s="210"/>
    </row>
    <row r="15" spans="2:7" ht="17.25" customHeight="1">
      <c r="B15" s="27" t="s">
        <v>231</v>
      </c>
      <c r="C15" s="23" t="s">
        <v>189</v>
      </c>
      <c r="D15" s="24" t="s">
        <v>17</v>
      </c>
      <c r="E15" s="24" t="s">
        <v>67</v>
      </c>
      <c r="F15" s="23" t="s">
        <v>76</v>
      </c>
      <c r="G15" s="210"/>
    </row>
    <row r="16" spans="2:7" ht="17.25" customHeight="1">
      <c r="B16" s="27" t="s">
        <v>214</v>
      </c>
      <c r="C16" s="23" t="s">
        <v>73</v>
      </c>
      <c r="D16" s="24" t="s">
        <v>17</v>
      </c>
      <c r="E16" s="24" t="s">
        <v>67</v>
      </c>
      <c r="F16" s="23" t="s">
        <v>74</v>
      </c>
      <c r="G16" s="210"/>
    </row>
    <row r="17" spans="2:7" ht="17.25" customHeight="1">
      <c r="B17" s="27" t="s">
        <v>215</v>
      </c>
      <c r="C17" s="23" t="s">
        <v>188</v>
      </c>
      <c r="D17" s="24" t="s">
        <v>17</v>
      </c>
      <c r="E17" s="24" t="s">
        <v>67</v>
      </c>
      <c r="F17" s="23" t="s">
        <v>76</v>
      </c>
      <c r="G17" s="210"/>
    </row>
    <row r="18" spans="2:7" ht="17.25" customHeight="1">
      <c r="B18" s="27" t="s">
        <v>234</v>
      </c>
      <c r="C18" s="23" t="s">
        <v>77</v>
      </c>
      <c r="D18" s="24" t="s">
        <v>60</v>
      </c>
      <c r="E18" s="24" t="s">
        <v>67</v>
      </c>
      <c r="F18" s="23" t="s">
        <v>78</v>
      </c>
      <c r="G18" s="210"/>
    </row>
    <row r="19" spans="2:7" ht="17.25" customHeight="1">
      <c r="B19" s="27" t="s">
        <v>232</v>
      </c>
      <c r="C19" s="23" t="s">
        <v>79</v>
      </c>
      <c r="D19" s="24" t="s">
        <v>17</v>
      </c>
      <c r="E19" s="24" t="s">
        <v>67</v>
      </c>
      <c r="F19" s="23" t="s">
        <v>80</v>
      </c>
      <c r="G19" s="210"/>
    </row>
    <row r="20" spans="2:7" ht="17.25" customHeight="1">
      <c r="B20" s="27" t="s">
        <v>233</v>
      </c>
      <c r="C20" s="23" t="s">
        <v>75</v>
      </c>
      <c r="D20" s="24" t="s">
        <v>17</v>
      </c>
      <c r="E20" s="24" t="s">
        <v>67</v>
      </c>
      <c r="F20" s="23" t="s">
        <v>81</v>
      </c>
      <c r="G20" s="210"/>
    </row>
    <row r="21" spans="2:7" ht="17.25" customHeight="1">
      <c r="B21" s="27" t="s">
        <v>198</v>
      </c>
      <c r="C21" s="23" t="s">
        <v>82</v>
      </c>
      <c r="D21" s="24" t="s">
        <v>60</v>
      </c>
      <c r="E21" s="24" t="s">
        <v>15</v>
      </c>
      <c r="F21" s="23" t="s">
        <v>83</v>
      </c>
      <c r="G21" s="210"/>
    </row>
    <row r="22" spans="2:7" ht="17.25" customHeight="1">
      <c r="B22" s="27" t="s">
        <v>205</v>
      </c>
      <c r="C22" s="23" t="s">
        <v>84</v>
      </c>
      <c r="D22" s="24" t="s">
        <v>85</v>
      </c>
      <c r="E22" s="24" t="s">
        <v>67</v>
      </c>
      <c r="F22" s="23" t="s">
        <v>86</v>
      </c>
      <c r="G22" s="210"/>
    </row>
    <row r="23" spans="2:7" ht="17.25" customHeight="1">
      <c r="B23" s="27" t="s">
        <v>199</v>
      </c>
      <c r="C23" s="23" t="s">
        <v>87</v>
      </c>
      <c r="D23" s="24" t="s">
        <v>17</v>
      </c>
      <c r="E23" s="24" t="s">
        <v>67</v>
      </c>
      <c r="F23" s="23" t="s">
        <v>88</v>
      </c>
      <c r="G23" s="210"/>
    </row>
    <row r="24" spans="2:7" ht="17.25" customHeight="1">
      <c r="B24" s="27" t="s">
        <v>200</v>
      </c>
      <c r="C24" s="23" t="s">
        <v>89</v>
      </c>
      <c r="D24" s="24" t="s">
        <v>17</v>
      </c>
      <c r="E24" s="24" t="s">
        <v>67</v>
      </c>
      <c r="F24" s="23" t="s">
        <v>90</v>
      </c>
      <c r="G24" s="210"/>
    </row>
    <row r="25" spans="2:7" ht="17.25" customHeight="1">
      <c r="B25" s="27" t="s">
        <v>201</v>
      </c>
      <c r="C25" s="23" t="s">
        <v>91</v>
      </c>
      <c r="D25" s="24" t="s">
        <v>60</v>
      </c>
      <c r="E25" s="24" t="s">
        <v>15</v>
      </c>
      <c r="F25" s="23" t="s">
        <v>92</v>
      </c>
      <c r="G25" s="210"/>
    </row>
    <row r="26" spans="2:7" ht="17.25" customHeight="1">
      <c r="B26" s="27" t="s">
        <v>202</v>
      </c>
      <c r="C26" s="23" t="s">
        <v>93</v>
      </c>
      <c r="D26" s="24" t="s">
        <v>17</v>
      </c>
      <c r="E26" s="24" t="s">
        <v>15</v>
      </c>
      <c r="F26" s="23" t="s">
        <v>94</v>
      </c>
      <c r="G26" s="210"/>
    </row>
    <row r="27" spans="2:7" ht="17.25" customHeight="1">
      <c r="B27" s="27" t="s">
        <v>203</v>
      </c>
      <c r="C27" s="23" t="s">
        <v>95</v>
      </c>
      <c r="D27" s="24" t="s">
        <v>17</v>
      </c>
      <c r="E27" s="24" t="s">
        <v>67</v>
      </c>
      <c r="F27" s="23" t="s">
        <v>96</v>
      </c>
      <c r="G27" s="210"/>
    </row>
    <row r="28" spans="2:7" ht="17.25" customHeight="1">
      <c r="B28" s="27" t="s">
        <v>220</v>
      </c>
      <c r="C28" s="23" t="s">
        <v>97</v>
      </c>
      <c r="D28" s="24" t="s">
        <v>17</v>
      </c>
      <c r="E28" s="24" t="s">
        <v>67</v>
      </c>
      <c r="F28" s="23" t="s">
        <v>98</v>
      </c>
      <c r="G28" s="210"/>
    </row>
    <row r="29" spans="2:7" ht="17.25" customHeight="1">
      <c r="B29" s="27" t="s">
        <v>204</v>
      </c>
      <c r="C29" s="23" t="s">
        <v>99</v>
      </c>
      <c r="D29" s="24" t="s">
        <v>17</v>
      </c>
      <c r="E29" s="24" t="s">
        <v>67</v>
      </c>
      <c r="F29" s="23" t="s">
        <v>100</v>
      </c>
      <c r="G29" s="210"/>
    </row>
    <row r="30" spans="2:7" ht="17.25" customHeight="1">
      <c r="B30" s="27" t="s">
        <v>224</v>
      </c>
      <c r="C30" s="23" t="s">
        <v>101</v>
      </c>
      <c r="D30" s="24" t="s">
        <v>60</v>
      </c>
      <c r="E30" s="24" t="s">
        <v>15</v>
      </c>
      <c r="F30" s="23" t="s">
        <v>102</v>
      </c>
      <c r="G30" s="210"/>
    </row>
    <row r="31" spans="2:7" ht="17.25" customHeight="1">
      <c r="B31" s="27" t="s">
        <v>225</v>
      </c>
      <c r="C31" s="23" t="s">
        <v>103</v>
      </c>
      <c r="D31" s="24" t="s">
        <v>17</v>
      </c>
      <c r="E31" s="24" t="s">
        <v>15</v>
      </c>
      <c r="F31" s="23" t="s">
        <v>104</v>
      </c>
      <c r="G31" s="210"/>
    </row>
    <row r="32" spans="2:7" ht="17.25" customHeight="1">
      <c r="B32" s="27" t="s">
        <v>223</v>
      </c>
      <c r="C32" s="23" t="s">
        <v>105</v>
      </c>
      <c r="D32" s="24" t="s">
        <v>17</v>
      </c>
      <c r="E32" s="24" t="s">
        <v>15</v>
      </c>
      <c r="F32" s="23" t="s">
        <v>106</v>
      </c>
      <c r="G32" s="210"/>
    </row>
    <row r="33" spans="2:7" ht="17.25" customHeight="1">
      <c r="B33" s="27" t="s">
        <v>222</v>
      </c>
      <c r="C33" s="23" t="s">
        <v>107</v>
      </c>
      <c r="D33" s="24" t="s">
        <v>17</v>
      </c>
      <c r="E33" s="24" t="s">
        <v>15</v>
      </c>
      <c r="F33" s="23" t="s">
        <v>108</v>
      </c>
      <c r="G33" s="210"/>
    </row>
    <row r="34" spans="2:7" ht="17.25" customHeight="1" thickBot="1">
      <c r="B34" s="28" t="s">
        <v>221</v>
      </c>
      <c r="C34" s="25" t="s">
        <v>109</v>
      </c>
      <c r="D34" s="26" t="s">
        <v>85</v>
      </c>
      <c r="E34" s="26" t="s">
        <v>15</v>
      </c>
      <c r="F34" s="25" t="s">
        <v>110</v>
      </c>
      <c r="G34" s="211"/>
    </row>
    <row r="35" spans="2:7">
      <c r="B35" s="185" t="s">
        <v>1</v>
      </c>
      <c r="C35" s="186"/>
      <c r="D35" s="186"/>
      <c r="E35" s="186"/>
      <c r="F35" s="186"/>
      <c r="G35" s="187"/>
    </row>
    <row r="36" spans="2:7">
      <c r="B36" s="19" t="s">
        <v>2</v>
      </c>
      <c r="C36" s="5" t="s">
        <v>3</v>
      </c>
      <c r="D36" s="5" t="s">
        <v>4</v>
      </c>
      <c r="E36" s="5" t="s">
        <v>23</v>
      </c>
      <c r="F36" s="5" t="s">
        <v>22</v>
      </c>
      <c r="G36" s="20" t="s">
        <v>7</v>
      </c>
    </row>
    <row r="37" spans="2:7">
      <c r="B37" s="27" t="s">
        <v>18</v>
      </c>
      <c r="C37" s="23" t="s">
        <v>11</v>
      </c>
      <c r="D37" s="24" t="s">
        <v>17</v>
      </c>
      <c r="E37" s="24" t="s">
        <v>12</v>
      </c>
      <c r="F37" s="23" t="s">
        <v>19</v>
      </c>
      <c r="G37" s="210" t="s">
        <v>143</v>
      </c>
    </row>
    <row r="38" spans="2:7">
      <c r="B38" s="27" t="s">
        <v>16</v>
      </c>
      <c r="C38" s="23" t="s">
        <v>111</v>
      </c>
      <c r="D38" s="24" t="s">
        <v>60</v>
      </c>
      <c r="E38" s="24" t="s">
        <v>12</v>
      </c>
      <c r="F38" s="23" t="s">
        <v>112</v>
      </c>
      <c r="G38" s="210"/>
    </row>
    <row r="39" spans="2:7">
      <c r="B39" s="27" t="s">
        <v>190</v>
      </c>
      <c r="C39" s="23" t="s">
        <v>103</v>
      </c>
      <c r="D39" s="24" t="s">
        <v>17</v>
      </c>
      <c r="E39" s="24" t="s">
        <v>12</v>
      </c>
      <c r="F39" s="23" t="s">
        <v>113</v>
      </c>
      <c r="G39" s="210"/>
    </row>
    <row r="40" spans="2:7">
      <c r="B40" s="27" t="s">
        <v>191</v>
      </c>
      <c r="C40" s="23" t="s">
        <v>114</v>
      </c>
      <c r="D40" s="24" t="s">
        <v>14</v>
      </c>
      <c r="E40" s="24" t="s">
        <v>12</v>
      </c>
      <c r="F40" s="23" t="s">
        <v>115</v>
      </c>
      <c r="G40" s="210"/>
    </row>
    <row r="41" spans="2:7">
      <c r="B41" s="27" t="s">
        <v>227</v>
      </c>
      <c r="C41" s="23" t="s">
        <v>116</v>
      </c>
      <c r="D41" s="24" t="s">
        <v>17</v>
      </c>
      <c r="E41" s="24" t="s">
        <v>12</v>
      </c>
      <c r="F41" s="23" t="s">
        <v>261</v>
      </c>
      <c r="G41" s="210"/>
    </row>
    <row r="42" spans="2:7">
      <c r="B42" s="27" t="s">
        <v>193</v>
      </c>
      <c r="C42" s="23" t="s">
        <v>118</v>
      </c>
      <c r="D42" s="24" t="s">
        <v>17</v>
      </c>
      <c r="E42" s="24" t="s">
        <v>12</v>
      </c>
      <c r="F42" s="23" t="s">
        <v>119</v>
      </c>
      <c r="G42" s="210"/>
    </row>
    <row r="43" spans="2:7">
      <c r="B43" s="27" t="s">
        <v>226</v>
      </c>
      <c r="C43" s="23" t="s">
        <v>120</v>
      </c>
      <c r="D43" s="24" t="s">
        <v>14</v>
      </c>
      <c r="E43" s="24" t="s">
        <v>121</v>
      </c>
      <c r="F43" s="23" t="s">
        <v>122</v>
      </c>
      <c r="G43" s="210"/>
    </row>
    <row r="44" spans="2:7">
      <c r="B44" s="27" t="s">
        <v>235</v>
      </c>
      <c r="C44" s="23" t="s">
        <v>123</v>
      </c>
      <c r="D44" s="24" t="s">
        <v>17</v>
      </c>
      <c r="E44" s="24" t="s">
        <v>12</v>
      </c>
      <c r="F44" s="23" t="s">
        <v>124</v>
      </c>
      <c r="G44" s="210"/>
    </row>
    <row r="45" spans="2:7">
      <c r="B45" s="27" t="s">
        <v>236</v>
      </c>
      <c r="C45" s="23" t="s">
        <v>125</v>
      </c>
      <c r="D45" s="24" t="s">
        <v>17</v>
      </c>
      <c r="E45" s="24" t="s">
        <v>12</v>
      </c>
      <c r="F45" s="23" t="s">
        <v>126</v>
      </c>
      <c r="G45" s="210"/>
    </row>
    <row r="46" spans="2:7">
      <c r="B46" s="27" t="s">
        <v>237</v>
      </c>
      <c r="C46" s="23" t="s">
        <v>127</v>
      </c>
      <c r="D46" s="24" t="s">
        <v>14</v>
      </c>
      <c r="E46" s="24" t="s">
        <v>121</v>
      </c>
      <c r="F46" s="23" t="s">
        <v>128</v>
      </c>
      <c r="G46" s="210"/>
    </row>
    <row r="47" spans="2:7">
      <c r="B47" s="27" t="s">
        <v>238</v>
      </c>
      <c r="C47" s="23" t="s">
        <v>129</v>
      </c>
      <c r="D47" s="24" t="s">
        <v>17</v>
      </c>
      <c r="E47" s="24" t="s">
        <v>12</v>
      </c>
      <c r="F47" s="23" t="s">
        <v>130</v>
      </c>
      <c r="G47" s="210"/>
    </row>
    <row r="48" spans="2:7">
      <c r="B48" s="27" t="s">
        <v>239</v>
      </c>
      <c r="C48" s="23" t="s">
        <v>131</v>
      </c>
      <c r="D48" s="24" t="s">
        <v>17</v>
      </c>
      <c r="E48" s="24" t="s">
        <v>12</v>
      </c>
      <c r="F48" s="23" t="s">
        <v>132</v>
      </c>
      <c r="G48" s="210"/>
    </row>
    <row r="49" spans="2:7">
      <c r="B49" s="27" t="s">
        <v>195</v>
      </c>
      <c r="C49" s="23" t="s">
        <v>133</v>
      </c>
      <c r="D49" s="24" t="s">
        <v>60</v>
      </c>
      <c r="E49" s="24" t="s">
        <v>12</v>
      </c>
      <c r="F49" s="23" t="s">
        <v>134</v>
      </c>
      <c r="G49" s="210"/>
    </row>
    <row r="50" spans="2:7">
      <c r="B50" s="27" t="s">
        <v>230</v>
      </c>
      <c r="C50" s="23" t="s">
        <v>135</v>
      </c>
      <c r="D50" s="24" t="s">
        <v>136</v>
      </c>
      <c r="E50" s="24" t="s">
        <v>12</v>
      </c>
      <c r="F50" s="23" t="s">
        <v>137</v>
      </c>
      <c r="G50" s="210"/>
    </row>
    <row r="51" spans="2:7">
      <c r="B51" s="27" t="s">
        <v>229</v>
      </c>
      <c r="C51" s="23" t="s">
        <v>138</v>
      </c>
      <c r="D51" s="24" t="s">
        <v>136</v>
      </c>
      <c r="E51" s="24" t="s">
        <v>12</v>
      </c>
      <c r="F51" s="23" t="s">
        <v>139</v>
      </c>
      <c r="G51" s="210"/>
    </row>
    <row r="52" spans="2:7" ht="18" thickBot="1">
      <c r="B52" s="28" t="s">
        <v>228</v>
      </c>
      <c r="C52" s="25" t="s">
        <v>140</v>
      </c>
      <c r="D52" s="26" t="s">
        <v>141</v>
      </c>
      <c r="E52" s="26" t="s">
        <v>12</v>
      </c>
      <c r="F52" s="25" t="s">
        <v>142</v>
      </c>
      <c r="G52" s="211"/>
    </row>
    <row r="53" spans="2:7" ht="18" thickBot="1">
      <c r="B53" s="11"/>
      <c r="C53" s="13"/>
      <c r="D53" s="13"/>
      <c r="E53" s="13"/>
      <c r="F53" s="11"/>
      <c r="G53" s="11"/>
    </row>
    <row r="54" spans="2:7">
      <c r="B54" s="15" t="s">
        <v>256</v>
      </c>
      <c r="C54" s="167" t="s">
        <v>262</v>
      </c>
      <c r="D54" s="167"/>
      <c r="E54" s="167"/>
      <c r="F54" s="167"/>
      <c r="G54" s="168"/>
    </row>
    <row r="55" spans="2:7">
      <c r="B55" s="22" t="s">
        <v>48</v>
      </c>
      <c r="C55" s="169" t="s">
        <v>54</v>
      </c>
      <c r="D55" s="169"/>
      <c r="E55" s="169"/>
      <c r="F55" s="169"/>
      <c r="G55" s="170"/>
    </row>
    <row r="56" spans="2:7">
      <c r="B56" s="16" t="s">
        <v>49</v>
      </c>
      <c r="C56" s="142" t="s">
        <v>51</v>
      </c>
      <c r="D56" s="142"/>
      <c r="E56" s="142"/>
      <c r="F56" s="142"/>
      <c r="G56" s="174"/>
    </row>
    <row r="57" spans="2:7" ht="18" thickBot="1">
      <c r="B57" s="16" t="s">
        <v>52</v>
      </c>
      <c r="C57" s="206" t="s">
        <v>265</v>
      </c>
      <c r="D57" s="206"/>
      <c r="E57" s="206"/>
      <c r="F57" s="206"/>
      <c r="G57" s="206"/>
    </row>
    <row r="58" spans="2:7">
      <c r="B58" s="161" t="s">
        <v>0</v>
      </c>
      <c r="C58" s="162"/>
      <c r="D58" s="162"/>
      <c r="E58" s="162"/>
      <c r="F58" s="162"/>
      <c r="G58" s="163"/>
    </row>
    <row r="59" spans="2:7">
      <c r="B59" s="17" t="s">
        <v>2</v>
      </c>
      <c r="C59" s="4" t="s">
        <v>3</v>
      </c>
      <c r="D59" s="4" t="s">
        <v>4</v>
      </c>
      <c r="E59" s="4" t="s">
        <v>20</v>
      </c>
      <c r="F59" s="4" t="s">
        <v>5</v>
      </c>
      <c r="G59" s="18" t="s">
        <v>6</v>
      </c>
    </row>
    <row r="60" spans="2:7" ht="17.25" customHeight="1">
      <c r="B60" s="27" t="s">
        <v>13</v>
      </c>
      <c r="C60" s="23" t="s">
        <v>56</v>
      </c>
      <c r="D60" s="24" t="s">
        <v>57</v>
      </c>
      <c r="E60" s="24" t="s">
        <v>15</v>
      </c>
      <c r="F60" s="23" t="s">
        <v>144</v>
      </c>
      <c r="G60" s="208" t="s">
        <v>266</v>
      </c>
    </row>
    <row r="61" spans="2:7" ht="17.25" customHeight="1">
      <c r="B61" s="27" t="s">
        <v>213</v>
      </c>
      <c r="C61" s="23" t="s">
        <v>10</v>
      </c>
      <c r="D61" s="24" t="s">
        <v>10</v>
      </c>
      <c r="E61" s="24" t="s">
        <v>15</v>
      </c>
      <c r="F61" s="23" t="s">
        <v>212</v>
      </c>
      <c r="G61" s="208"/>
    </row>
    <row r="62" spans="2:7" ht="17.25" customHeight="1">
      <c r="B62" s="27" t="s">
        <v>206</v>
      </c>
      <c r="C62" s="23" t="s">
        <v>145</v>
      </c>
      <c r="D62" s="24" t="s">
        <v>60</v>
      </c>
      <c r="E62" s="24" t="s">
        <v>15</v>
      </c>
      <c r="F62" s="23" t="s">
        <v>146</v>
      </c>
      <c r="G62" s="208"/>
    </row>
    <row r="63" spans="2:7" ht="17.25" customHeight="1">
      <c r="B63" s="27" t="s">
        <v>207</v>
      </c>
      <c r="C63" s="23" t="s">
        <v>103</v>
      </c>
      <c r="D63" s="24" t="s">
        <v>17</v>
      </c>
      <c r="E63" s="24" t="s">
        <v>15</v>
      </c>
      <c r="F63" s="23" t="s">
        <v>147</v>
      </c>
      <c r="G63" s="208"/>
    </row>
    <row r="64" spans="2:7" ht="17.25" customHeight="1">
      <c r="B64" s="27" t="s">
        <v>240</v>
      </c>
      <c r="C64" s="23" t="s">
        <v>148</v>
      </c>
      <c r="D64" s="24" t="s">
        <v>14</v>
      </c>
      <c r="E64" s="24" t="s">
        <v>15</v>
      </c>
      <c r="F64" s="23" t="s">
        <v>149</v>
      </c>
      <c r="G64" s="208"/>
    </row>
    <row r="65" spans="2:7" ht="17.25" customHeight="1">
      <c r="B65" s="27" t="s">
        <v>208</v>
      </c>
      <c r="C65" s="23" t="s">
        <v>150</v>
      </c>
      <c r="D65" s="24" t="s">
        <v>60</v>
      </c>
      <c r="E65" s="24" t="s">
        <v>67</v>
      </c>
      <c r="F65" s="23" t="s">
        <v>151</v>
      </c>
      <c r="G65" s="208"/>
    </row>
    <row r="66" spans="2:7" ht="17.25" customHeight="1">
      <c r="B66" s="27" t="s">
        <v>246</v>
      </c>
      <c r="C66" s="23" t="s">
        <v>152</v>
      </c>
      <c r="D66" s="24" t="s">
        <v>17</v>
      </c>
      <c r="E66" s="24" t="s">
        <v>67</v>
      </c>
      <c r="F66" s="23" t="s">
        <v>153</v>
      </c>
      <c r="G66" s="208"/>
    </row>
    <row r="67" spans="2:7" ht="17.25" customHeight="1">
      <c r="B67" s="27" t="s">
        <v>245</v>
      </c>
      <c r="C67" s="23" t="s">
        <v>154</v>
      </c>
      <c r="D67" s="24" t="s">
        <v>17</v>
      </c>
      <c r="E67" s="24" t="s">
        <v>67</v>
      </c>
      <c r="F67" s="23" t="s">
        <v>155</v>
      </c>
      <c r="G67" s="208"/>
    </row>
    <row r="68" spans="2:7" ht="17.25" customHeight="1">
      <c r="B68" s="27" t="s">
        <v>244</v>
      </c>
      <c r="C68" s="23" t="s">
        <v>156</v>
      </c>
      <c r="D68" s="24" t="s">
        <v>17</v>
      </c>
      <c r="E68" s="24" t="s">
        <v>67</v>
      </c>
      <c r="F68" s="23" t="s">
        <v>157</v>
      </c>
      <c r="G68" s="208"/>
    </row>
    <row r="69" spans="2:7" ht="17.25" customHeight="1">
      <c r="B69" s="27" t="s">
        <v>243</v>
      </c>
      <c r="C69" s="23" t="s">
        <v>158</v>
      </c>
      <c r="D69" s="24" t="s">
        <v>159</v>
      </c>
      <c r="E69" s="24" t="s">
        <v>67</v>
      </c>
      <c r="F69" s="23" t="s">
        <v>160</v>
      </c>
      <c r="G69" s="208"/>
    </row>
    <row r="70" spans="2:7" ht="17.25" customHeight="1">
      <c r="B70" s="27" t="s">
        <v>242</v>
      </c>
      <c r="C70" s="23" t="s">
        <v>161</v>
      </c>
      <c r="D70" s="24" t="s">
        <v>159</v>
      </c>
      <c r="E70" s="24" t="s">
        <v>67</v>
      </c>
      <c r="F70" s="23" t="s">
        <v>162</v>
      </c>
      <c r="G70" s="208"/>
    </row>
    <row r="71" spans="2:7" ht="17.25" customHeight="1" thickBot="1">
      <c r="B71" s="28" t="s">
        <v>241</v>
      </c>
      <c r="C71" s="25" t="s">
        <v>163</v>
      </c>
      <c r="D71" s="26" t="s">
        <v>159</v>
      </c>
      <c r="E71" s="26" t="s">
        <v>67</v>
      </c>
      <c r="F71" s="25" t="s">
        <v>164</v>
      </c>
      <c r="G71" s="209"/>
    </row>
    <row r="72" spans="2:7" ht="17.25" customHeight="1">
      <c r="B72" s="185" t="s">
        <v>1</v>
      </c>
      <c r="C72" s="186"/>
      <c r="D72" s="186"/>
      <c r="E72" s="186"/>
      <c r="F72" s="186"/>
      <c r="G72" s="187"/>
    </row>
    <row r="73" spans="2:7" ht="17.25" customHeight="1">
      <c r="B73" s="19" t="s">
        <v>2</v>
      </c>
      <c r="C73" s="5" t="s">
        <v>3</v>
      </c>
      <c r="D73" s="5" t="s">
        <v>4</v>
      </c>
      <c r="E73" s="5" t="s">
        <v>24</v>
      </c>
      <c r="F73" s="5" t="s">
        <v>5</v>
      </c>
      <c r="G73" s="20" t="s">
        <v>7</v>
      </c>
    </row>
    <row r="74" spans="2:7" ht="17.25" customHeight="1">
      <c r="B74" s="27" t="s">
        <v>18</v>
      </c>
      <c r="C74" s="23" t="s">
        <v>11</v>
      </c>
      <c r="D74" s="24" t="s">
        <v>17</v>
      </c>
      <c r="E74" s="24" t="s">
        <v>12</v>
      </c>
      <c r="F74" s="23" t="s">
        <v>19</v>
      </c>
      <c r="G74" s="208" t="s">
        <v>187</v>
      </c>
    </row>
    <row r="75" spans="2:7" ht="17.25" customHeight="1">
      <c r="B75" s="27" t="s">
        <v>16</v>
      </c>
      <c r="C75" s="23" t="s">
        <v>111</v>
      </c>
      <c r="D75" s="24" t="s">
        <v>60</v>
      </c>
      <c r="E75" s="24" t="s">
        <v>12</v>
      </c>
      <c r="F75" s="23" t="s">
        <v>165</v>
      </c>
      <c r="G75" s="208"/>
    </row>
    <row r="76" spans="2:7" ht="17.25" customHeight="1">
      <c r="B76" s="27" t="s">
        <v>190</v>
      </c>
      <c r="C76" s="23" t="s">
        <v>103</v>
      </c>
      <c r="D76" s="24" t="s">
        <v>17</v>
      </c>
      <c r="E76" s="24" t="s">
        <v>12</v>
      </c>
      <c r="F76" s="23" t="s">
        <v>104</v>
      </c>
      <c r="G76" s="208"/>
    </row>
    <row r="77" spans="2:7" ht="17.25" customHeight="1">
      <c r="B77" s="27" t="s">
        <v>209</v>
      </c>
      <c r="C77" s="23" t="s">
        <v>166</v>
      </c>
      <c r="D77" s="24" t="s">
        <v>14</v>
      </c>
      <c r="E77" s="24" t="s">
        <v>12</v>
      </c>
      <c r="F77" s="23" t="s">
        <v>167</v>
      </c>
      <c r="G77" s="208"/>
    </row>
    <row r="78" spans="2:7" ht="17.25" customHeight="1">
      <c r="B78" s="27" t="s">
        <v>192</v>
      </c>
      <c r="C78" s="23" t="s">
        <v>116</v>
      </c>
      <c r="D78" s="24" t="s">
        <v>17</v>
      </c>
      <c r="E78" s="24" t="s">
        <v>12</v>
      </c>
      <c r="F78" s="23" t="s">
        <v>117</v>
      </c>
      <c r="G78" s="208"/>
    </row>
    <row r="79" spans="2:7" ht="17.25" customHeight="1">
      <c r="B79" s="27" t="s">
        <v>193</v>
      </c>
      <c r="C79" s="23" t="s">
        <v>118</v>
      </c>
      <c r="D79" s="24" t="s">
        <v>17</v>
      </c>
      <c r="E79" s="24" t="s">
        <v>12</v>
      </c>
      <c r="F79" s="23" t="s">
        <v>119</v>
      </c>
      <c r="G79" s="208"/>
    </row>
    <row r="80" spans="2:7" ht="17.25" customHeight="1">
      <c r="B80" s="27" t="s">
        <v>210</v>
      </c>
      <c r="C80" s="23" t="s">
        <v>168</v>
      </c>
      <c r="D80" s="24" t="s">
        <v>17</v>
      </c>
      <c r="E80" s="24" t="s">
        <v>12</v>
      </c>
      <c r="F80" s="23" t="s">
        <v>169</v>
      </c>
      <c r="G80" s="208"/>
    </row>
    <row r="81" spans="2:7" ht="17.25" customHeight="1">
      <c r="B81" s="27" t="s">
        <v>194</v>
      </c>
      <c r="C81" s="23" t="s">
        <v>170</v>
      </c>
      <c r="D81" s="24" t="s">
        <v>14</v>
      </c>
      <c r="E81" s="24" t="s">
        <v>121</v>
      </c>
      <c r="F81" s="23" t="s">
        <v>171</v>
      </c>
      <c r="G81" s="208"/>
    </row>
    <row r="82" spans="2:7" ht="17.25" customHeight="1">
      <c r="B82" s="27" t="s">
        <v>235</v>
      </c>
      <c r="C82" s="23" t="s">
        <v>123</v>
      </c>
      <c r="D82" s="24" t="s">
        <v>17</v>
      </c>
      <c r="E82" s="24" t="s">
        <v>12</v>
      </c>
      <c r="F82" s="23" t="s">
        <v>124</v>
      </c>
      <c r="G82" s="208"/>
    </row>
    <row r="83" spans="2:7" ht="17.25" customHeight="1">
      <c r="B83" s="27" t="s">
        <v>236</v>
      </c>
      <c r="C83" s="23" t="s">
        <v>125</v>
      </c>
      <c r="D83" s="24" t="s">
        <v>17</v>
      </c>
      <c r="E83" s="24" t="s">
        <v>12</v>
      </c>
      <c r="F83" s="23" t="s">
        <v>126</v>
      </c>
      <c r="G83" s="208"/>
    </row>
    <row r="84" spans="2:7" ht="17.25" customHeight="1">
      <c r="B84" s="27" t="s">
        <v>250</v>
      </c>
      <c r="C84" s="23" t="s">
        <v>170</v>
      </c>
      <c r="D84" s="24" t="s">
        <v>17</v>
      </c>
      <c r="E84" s="24" t="s">
        <v>12</v>
      </c>
      <c r="F84" s="23" t="s">
        <v>172</v>
      </c>
      <c r="G84" s="208"/>
    </row>
    <row r="85" spans="2:7" ht="17.25" customHeight="1">
      <c r="B85" s="27" t="s">
        <v>237</v>
      </c>
      <c r="C85" s="23" t="s">
        <v>173</v>
      </c>
      <c r="D85" s="24" t="s">
        <v>14</v>
      </c>
      <c r="E85" s="24" t="s">
        <v>121</v>
      </c>
      <c r="F85" s="23" t="s">
        <v>174</v>
      </c>
      <c r="G85" s="208"/>
    </row>
    <row r="86" spans="2:7" ht="17.25" customHeight="1">
      <c r="B86" s="27" t="s">
        <v>238</v>
      </c>
      <c r="C86" s="23" t="s">
        <v>129</v>
      </c>
      <c r="D86" s="24" t="s">
        <v>17</v>
      </c>
      <c r="E86" s="24" t="s">
        <v>12</v>
      </c>
      <c r="F86" s="23" t="s">
        <v>130</v>
      </c>
      <c r="G86" s="208"/>
    </row>
    <row r="87" spans="2:7" ht="17.25" customHeight="1">
      <c r="B87" s="27" t="s">
        <v>251</v>
      </c>
      <c r="C87" s="23" t="s">
        <v>131</v>
      </c>
      <c r="D87" s="24" t="s">
        <v>17</v>
      </c>
      <c r="E87" s="24" t="s">
        <v>12</v>
      </c>
      <c r="F87" s="23" t="s">
        <v>132</v>
      </c>
      <c r="G87" s="208"/>
    </row>
    <row r="88" spans="2:7" ht="17.25" customHeight="1">
      <c r="B88" s="27" t="s">
        <v>252</v>
      </c>
      <c r="C88" s="23" t="s">
        <v>173</v>
      </c>
      <c r="D88" s="24" t="s">
        <v>17</v>
      </c>
      <c r="E88" s="24" t="s">
        <v>12</v>
      </c>
      <c r="F88" s="23" t="s">
        <v>175</v>
      </c>
      <c r="G88" s="208"/>
    </row>
    <row r="89" spans="2:7" ht="17.25" customHeight="1">
      <c r="B89" s="27" t="s">
        <v>249</v>
      </c>
      <c r="C89" s="23" t="s">
        <v>176</v>
      </c>
      <c r="D89" s="24" t="s">
        <v>60</v>
      </c>
      <c r="E89" s="24" t="s">
        <v>121</v>
      </c>
      <c r="F89" s="23" t="s">
        <v>177</v>
      </c>
      <c r="G89" s="208"/>
    </row>
    <row r="90" spans="2:7" ht="17.25" customHeight="1">
      <c r="B90" s="27" t="s">
        <v>247</v>
      </c>
      <c r="C90" s="23" t="s">
        <v>178</v>
      </c>
      <c r="D90" s="24" t="s">
        <v>14</v>
      </c>
      <c r="E90" s="24" t="s">
        <v>121</v>
      </c>
      <c r="F90" s="23" t="s">
        <v>179</v>
      </c>
      <c r="G90" s="208"/>
    </row>
    <row r="91" spans="2:7" ht="17.25" customHeight="1">
      <c r="B91" s="27" t="s">
        <v>211</v>
      </c>
      <c r="C91" s="23" t="s">
        <v>163</v>
      </c>
      <c r="D91" s="24" t="s">
        <v>14</v>
      </c>
      <c r="E91" s="24" t="s">
        <v>121</v>
      </c>
      <c r="F91" s="23" t="s">
        <v>180</v>
      </c>
      <c r="G91" s="208"/>
    </row>
    <row r="92" spans="2:7" ht="17.25" customHeight="1">
      <c r="B92" s="27" t="s">
        <v>248</v>
      </c>
      <c r="C92" s="23" t="s">
        <v>181</v>
      </c>
      <c r="D92" s="24" t="s">
        <v>14</v>
      </c>
      <c r="E92" s="24" t="s">
        <v>121</v>
      </c>
      <c r="F92" s="23" t="s">
        <v>182</v>
      </c>
      <c r="G92" s="208"/>
    </row>
    <row r="93" spans="2:7" ht="17.25" customHeight="1">
      <c r="B93" s="27" t="s">
        <v>195</v>
      </c>
      <c r="C93" s="23" t="s">
        <v>133</v>
      </c>
      <c r="D93" s="24" t="s">
        <v>60</v>
      </c>
      <c r="E93" s="24" t="s">
        <v>12</v>
      </c>
      <c r="F93" s="23" t="s">
        <v>134</v>
      </c>
      <c r="G93" s="208"/>
    </row>
    <row r="94" spans="2:7" ht="17.25" customHeight="1">
      <c r="B94" s="27" t="s">
        <v>253</v>
      </c>
      <c r="C94" s="23" t="s">
        <v>183</v>
      </c>
      <c r="D94" s="24" t="s">
        <v>136</v>
      </c>
      <c r="E94" s="24" t="s">
        <v>12</v>
      </c>
      <c r="F94" s="23" t="s">
        <v>184</v>
      </c>
      <c r="G94" s="208"/>
    </row>
    <row r="95" spans="2:7" ht="17.25" customHeight="1">
      <c r="B95" s="27" t="s">
        <v>254</v>
      </c>
      <c r="C95" s="23" t="s">
        <v>185</v>
      </c>
      <c r="D95" s="24" t="s">
        <v>136</v>
      </c>
      <c r="E95" s="24" t="s">
        <v>12</v>
      </c>
      <c r="F95" s="23" t="s">
        <v>186</v>
      </c>
      <c r="G95" s="208"/>
    </row>
    <row r="96" spans="2:7" ht="17.25" customHeight="1" thickBot="1">
      <c r="B96" s="28" t="s">
        <v>228</v>
      </c>
      <c r="C96" s="25" t="s">
        <v>140</v>
      </c>
      <c r="D96" s="26" t="s">
        <v>141</v>
      </c>
      <c r="E96" s="26" t="s">
        <v>12</v>
      </c>
      <c r="F96" s="25" t="s">
        <v>142</v>
      </c>
      <c r="G96" s="209"/>
    </row>
    <row r="97" spans="2:7">
      <c r="B97" s="3"/>
      <c r="C97" s="3"/>
      <c r="D97" s="7"/>
      <c r="E97" s="7"/>
      <c r="F97" s="3"/>
      <c r="G97" s="3"/>
    </row>
    <row r="98" spans="2:7">
      <c r="B98" s="3"/>
      <c r="C98" s="3"/>
      <c r="D98" s="7"/>
      <c r="E98" s="7"/>
      <c r="F98" s="3"/>
      <c r="G98" s="3"/>
    </row>
    <row r="99" spans="2:7">
      <c r="C99"/>
    </row>
    <row r="100" spans="2:7">
      <c r="C100"/>
    </row>
    <row r="101" spans="2:7" ht="18">
      <c r="B101" s="9"/>
      <c r="C101"/>
    </row>
    <row r="102" spans="2:7">
      <c r="B102" s="6"/>
      <c r="C102"/>
    </row>
    <row r="103" spans="2:7">
      <c r="B103" s="8"/>
      <c r="C103" s="8"/>
      <c r="D103" s="8"/>
      <c r="E103" s="8"/>
      <c r="F103" s="8"/>
      <c r="G103" s="8"/>
    </row>
    <row r="104" spans="2:7">
      <c r="B104" s="10"/>
      <c r="C104" s="3"/>
      <c r="D104" s="7"/>
      <c r="E104" s="7"/>
      <c r="F104" s="3"/>
      <c r="G104" s="3"/>
    </row>
    <row r="105" spans="2:7">
      <c r="B105" s="3"/>
      <c r="C105" s="3"/>
      <c r="D105" s="7"/>
      <c r="E105" s="7"/>
      <c r="F105" s="3"/>
      <c r="G105" s="3"/>
    </row>
    <row r="106" spans="2:7">
      <c r="B106" s="3"/>
      <c r="C106" s="3"/>
      <c r="D106" s="7"/>
      <c r="E106" s="7"/>
      <c r="F106" s="3"/>
      <c r="G106" s="3"/>
    </row>
    <row r="107" spans="2:7">
      <c r="B107" s="10"/>
      <c r="C107" s="3"/>
      <c r="D107" s="7"/>
      <c r="E107" s="7"/>
      <c r="F107" s="3"/>
      <c r="G107" s="3"/>
    </row>
    <row r="108" spans="2:7">
      <c r="B108" s="3"/>
      <c r="C108" s="3"/>
      <c r="D108" s="7"/>
      <c r="E108" s="7"/>
      <c r="F108" s="3"/>
      <c r="G108" s="3"/>
    </row>
    <row r="109" spans="2:7">
      <c r="B109" s="3"/>
      <c r="C109" s="3"/>
      <c r="D109" s="7"/>
      <c r="E109" s="7"/>
      <c r="F109" s="3"/>
      <c r="G109" s="3"/>
    </row>
  </sheetData>
  <mergeCells count="16">
    <mergeCell ref="G8:G34"/>
    <mergeCell ref="C2:G2"/>
    <mergeCell ref="C3:G3"/>
    <mergeCell ref="C4:G4"/>
    <mergeCell ref="C5:G5"/>
    <mergeCell ref="B6:G6"/>
    <mergeCell ref="B58:G58"/>
    <mergeCell ref="G60:G71"/>
    <mergeCell ref="B72:G72"/>
    <mergeCell ref="G74:G96"/>
    <mergeCell ref="B35:G35"/>
    <mergeCell ref="G37:G52"/>
    <mergeCell ref="C54:G54"/>
    <mergeCell ref="C55:G55"/>
    <mergeCell ref="C56:G56"/>
    <mergeCell ref="C57:G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Document Overview</vt:lpstr>
      <vt:lpstr>2. API List</vt:lpstr>
      <vt:lpstr>3. API Reference</vt:lpstr>
      <vt:lpstr>2. API Details 가안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티쓰리큐</dc:creator>
  <cp:lastModifiedBy>Jungjun Park</cp:lastModifiedBy>
  <dcterms:created xsi:type="dcterms:W3CDTF">2024-09-04T09:42:40Z</dcterms:created>
  <dcterms:modified xsi:type="dcterms:W3CDTF">2025-11-22T23:15:58Z</dcterms:modified>
</cp:coreProperties>
</file>